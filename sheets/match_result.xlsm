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Data\PythonProject\LiquipediaOsuContributeHelper\sheets\"/>
    </mc:Choice>
  </mc:AlternateContent>
  <xr:revisionPtr revIDLastSave="0" documentId="13_ncr:1_{8BA0E5F3-985D-430D-A307-6A863FCD5A8D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Data" sheetId="1" r:id="rId1"/>
    <sheet name="Options" sheetId="4" r:id="rId2"/>
    <sheet name="Foumla_Exca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 a="1"/>
  <c r="F14" i="3" a="1"/>
  <c r="F24" i="3" a="1"/>
  <c r="F34" i="3" a="1"/>
  <c r="F15" i="3" a="1"/>
  <c r="F25" i="3" a="1"/>
  <c r="F6" i="3" a="1"/>
  <c r="F16" i="3" a="1"/>
  <c r="F26" i="3" a="1"/>
  <c r="F7" i="3" a="1"/>
  <c r="F17" i="3" a="1"/>
  <c r="F27" i="3" a="1"/>
  <c r="F8" i="3" a="1"/>
  <c r="F18" i="3" a="1"/>
  <c r="F28" i="3" a="1"/>
  <c r="F9" i="3" a="1"/>
  <c r="F19" i="3" a="1"/>
  <c r="F29" i="3" a="1"/>
  <c r="F10" i="3" a="1"/>
  <c r="F20" i="3" a="1"/>
  <c r="F30" i="3" a="1"/>
  <c r="F11" i="3" a="1"/>
  <c r="F21" i="3" a="1"/>
  <c r="F31" i="3" a="1"/>
  <c r="F12" i="3" a="1"/>
  <c r="F22" i="3" a="1"/>
  <c r="F32" i="3" a="1"/>
  <c r="F13" i="3" a="1"/>
  <c r="F23" i="3" a="1"/>
  <c r="F5" i="3" a="1"/>
  <c r="F33" i="3" a="1"/>
  <c r="F3" i="3" a="1"/>
  <c r="F33" i="3" l="1"/>
  <c r="F5" i="3"/>
  <c r="F23" i="3"/>
  <c r="F13" i="3"/>
  <c r="F32" i="3"/>
  <c r="F22" i="3"/>
  <c r="F12" i="3"/>
  <c r="F31" i="3"/>
  <c r="F21" i="3"/>
  <c r="F11" i="3"/>
  <c r="F30" i="3"/>
  <c r="F20" i="3"/>
  <c r="F10" i="3"/>
  <c r="F29" i="3"/>
  <c r="F19" i="3"/>
  <c r="F9" i="3"/>
  <c r="F28" i="3"/>
  <c r="F18" i="3"/>
  <c r="F8" i="3"/>
  <c r="F27" i="3"/>
  <c r="F17" i="3"/>
  <c r="F7" i="3"/>
  <c r="F26" i="3"/>
  <c r="F16" i="3"/>
  <c r="F6" i="3"/>
  <c r="F25" i="3"/>
  <c r="F15" i="3"/>
  <c r="F34" i="3"/>
  <c r="F24" i="3"/>
  <c r="F14" i="3"/>
  <c r="F4" i="3"/>
  <c r="F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<sst xmlns="http://schemas.openxmlformats.org/spreadsheetml/2006/main" count="143" uniqueCount="85">
  <si>
    <t>BID</t>
    <phoneticPr fontId="1" type="noConversion"/>
  </si>
  <si>
    <t>ID</t>
    <phoneticPr fontId="1" type="noConversion"/>
  </si>
  <si>
    <t>Mappools Settings</t>
    <phoneticPr fontId="1" type="noConversion"/>
  </si>
  <si>
    <t>mp link</t>
    <phoneticPr fontId="1" type="noConversion"/>
  </si>
  <si>
    <t>Mods</t>
    <phoneticPr fontId="1" type="noConversion"/>
  </si>
  <si>
    <t>Multiplier</t>
    <phoneticPr fontId="1" type="noConversion"/>
  </si>
  <si>
    <r>
      <t xml:space="preserve">Player UID (Optional)
</t>
    </r>
    <r>
      <rPr>
        <b/>
        <i/>
        <sz val="11"/>
        <color theme="1"/>
        <rFont val="等线"/>
        <family val="3"/>
        <charset val="134"/>
        <scheme val="minor"/>
      </rPr>
      <t>Use to exclude incorrect player</t>
    </r>
    <phoneticPr fontId="1" type="noConversion"/>
  </si>
  <si>
    <t>Mods Multiplier</t>
    <phoneticPr fontId="1" type="noConversion"/>
  </si>
  <si>
    <t>Settings</t>
    <phoneticPr fontId="1" type="noConversion"/>
  </si>
  <si>
    <t>Means all matches in mplink are played 
in old style (Team1 = Blue, Team2 = Red)</t>
    <phoneticPr fontId="1" type="noConversion"/>
  </si>
  <si>
    <t>Swap Teams?</t>
    <phoneticPr fontId="1" type="noConversion"/>
  </si>
  <si>
    <t>Bool Values</t>
    <phoneticPr fontId="1" type="noConversion"/>
  </si>
  <si>
    <t>RC1</t>
  </si>
  <si>
    <t>RC2</t>
  </si>
  <si>
    <t>RC3</t>
  </si>
  <si>
    <t>RC4</t>
  </si>
  <si>
    <t>RC5</t>
  </si>
  <si>
    <t>LN1</t>
  </si>
  <si>
    <t>LN2</t>
  </si>
  <si>
    <t>LN3</t>
  </si>
  <si>
    <t>HB1</t>
  </si>
  <si>
    <t>HB2</t>
  </si>
  <si>
    <t>LN4</t>
  </si>
  <si>
    <t>LN5</t>
  </si>
  <si>
    <t>HB3</t>
  </si>
  <si>
    <t>HB4</t>
  </si>
  <si>
    <t>SV1</t>
  </si>
  <si>
    <t>SV2</t>
  </si>
  <si>
    <t>TB</t>
  </si>
  <si>
    <t>4DM 24</t>
    <phoneticPr fontId="1" type="noConversion"/>
  </si>
  <si>
    <t>S1</t>
  </si>
  <si>
    <t>S2</t>
  </si>
  <si>
    <t>S3</t>
  </si>
  <si>
    <t>S4</t>
  </si>
  <si>
    <t>S5</t>
  </si>
  <si>
    <t>MATCH LINK</t>
  </si>
  <si>
    <t>#6</t>
  </si>
  <si>
    <t>#12</t>
  </si>
  <si>
    <t>#3</t>
  </si>
  <si>
    <t>#28</t>
  </si>
  <si>
    <t>#24</t>
  </si>
  <si>
    <t>#23</t>
  </si>
  <si>
    <t>#4</t>
  </si>
  <si>
    <t>#20</t>
  </si>
  <si>
    <t>#7</t>
  </si>
  <si>
    <t>#8</t>
  </si>
  <si>
    <t>#9</t>
  </si>
  <si>
    <t>#14</t>
  </si>
  <si>
    <t>#5</t>
  </si>
  <si>
    <t>#11</t>
  </si>
  <si>
    <t>#18</t>
  </si>
  <si>
    <t>#19</t>
  </si>
  <si>
    <t>#26</t>
  </si>
  <si>
    <t>#25</t>
  </si>
  <si>
    <t>#21</t>
  </si>
  <si>
    <t>#27</t>
  </si>
  <si>
    <t>#22</t>
  </si>
  <si>
    <t>#10</t>
  </si>
  <si>
    <t>#29</t>
  </si>
  <si>
    <t>#15</t>
  </si>
  <si>
    <t>#16</t>
  </si>
  <si>
    <t>#1</t>
  </si>
  <si>
    <t>#2</t>
  </si>
  <si>
    <t>#17</t>
  </si>
  <si>
    <t>#13</t>
  </si>
  <si>
    <t>#30</t>
  </si>
  <si>
    <t>#32</t>
  </si>
  <si>
    <t>#31</t>
  </si>
  <si>
    <t>https://osu.ppy.sh/community/matches/</t>
  </si>
  <si>
    <t>https://osu.ppy.sh/mp/#</t>
    <phoneticPr fontId="1" type="noConversion"/>
  </si>
  <si>
    <t>#</t>
  </si>
  <si>
    <t>Win Conditions?</t>
    <phoneticPr fontId="1" type="noConversion"/>
  </si>
  <si>
    <t>Win Conditions</t>
    <phoneticPr fontId="1" type="noConversion"/>
  </si>
  <si>
    <t>ACC</t>
  </si>
  <si>
    <t>ACC</t>
    <phoneticPr fontId="1" type="noConversion"/>
  </si>
  <si>
    <t>Score</t>
    <phoneticPr fontId="1" type="noConversion"/>
  </si>
  <si>
    <t>S6</t>
  </si>
  <si>
    <t>S7</t>
  </si>
  <si>
    <t>S8</t>
  </si>
  <si>
    <t>S9</t>
  </si>
  <si>
    <t>S10</t>
  </si>
  <si>
    <t>S11</t>
  </si>
  <si>
    <t>S12</t>
  </si>
  <si>
    <t>S13</t>
  </si>
  <si>
    <t>TB1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</si>
</sst>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i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rgb="FF000000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11"/>
      <name val="Torus"/>
      <family val="3"/>
    </font>
    <font>
      <sz val="10"/>
      <color theme="1"/>
      <name val="Nunito"/>
    </font>
    <font>
      <b/>
      <sz val="10"/>
      <color rgb="FFFFFFFF"/>
      <name val="Poppins"/>
    </font>
    <font>
      <sz val="8"/>
      <color rgb="FFD1C6CC"/>
      <name val="Lexend Deca"/>
      <family val="2"/>
    </font>
    <font>
      <b/>
      <sz val="11"/>
      <color rgb="FFB9FFAD"/>
      <name val="Karla"/>
    </font>
    <font>
      <b/>
      <sz val="11"/>
      <color rgb="FF9EF0FF"/>
      <name val="Karla"/>
    </font>
    <font>
      <b/>
      <sz val="10"/>
      <color rgb="FF000000"/>
      <name val="等线"/>
      <family val="3"/>
      <charset val="134"/>
      <scheme val="minor"/>
    </font>
    <font>
      <sz val="10"/>
      <color rgb="FFFFFFFF"/>
      <name val="Aldrich"/>
      <family val="2"/>
    </font>
    <font>
      <b/>
      <sz val="10"/>
      <color rgb="FFFFFFFF"/>
      <name val="Aldrich"/>
      <family val="2"/>
    </font>
    <font>
      <b/>
      <sz val="10"/>
      <color rgb="FFFF016C"/>
      <name val="Red Hat Display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00182F"/>
        <bgColor indexed="64"/>
      </patternFill>
    </fill>
    <fill>
      <patternFill patternType="solid">
        <fgColor rgb="FF31282D"/>
        <bgColor indexed="64"/>
      </patternFill>
    </fill>
    <fill>
      <patternFill patternType="solid">
        <fgColor rgb="FF485177"/>
        <bgColor indexed="64"/>
      </patternFill>
    </fill>
    <fill>
      <patternFill patternType="solid">
        <fgColor rgb="FF444D71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B60732"/>
        <bgColor indexed="64"/>
      </patternFill>
    </fill>
    <fill>
      <patternFill patternType="solid">
        <fgColor rgb="FFB50633"/>
        <bgColor indexed="64"/>
      </patternFill>
    </fill>
    <fill>
      <patternFill patternType="solid">
        <fgColor rgb="FFB40534"/>
        <bgColor indexed="64"/>
      </patternFill>
    </fill>
    <fill>
      <patternFill patternType="solid">
        <fgColor rgb="FFB30534"/>
        <bgColor indexed="64"/>
      </patternFill>
    </fill>
    <fill>
      <patternFill patternType="solid">
        <fgColor rgb="FFB20435"/>
        <bgColor indexed="64"/>
      </patternFill>
    </fill>
    <fill>
      <patternFill patternType="solid">
        <fgColor rgb="FFB10436"/>
        <bgColor indexed="64"/>
      </patternFill>
    </fill>
    <fill>
      <patternFill patternType="solid">
        <fgColor rgb="FFAF0336"/>
        <bgColor indexed="64"/>
      </patternFill>
    </fill>
    <fill>
      <patternFill patternType="solid">
        <fgColor rgb="FFAE0337"/>
        <bgColor indexed="64"/>
      </patternFill>
    </fill>
    <fill>
      <patternFill patternType="solid">
        <fgColor rgb="FFAC0338"/>
        <bgColor indexed="64"/>
      </patternFill>
    </fill>
    <fill>
      <patternFill patternType="solid">
        <fgColor rgb="FFAA0239"/>
        <bgColor indexed="64"/>
      </patternFill>
    </fill>
    <fill>
      <patternFill patternType="solid">
        <fgColor rgb="FFA8023A"/>
        <bgColor indexed="64"/>
      </patternFill>
    </fill>
    <fill>
      <patternFill patternType="solid">
        <fgColor rgb="FFA7023A"/>
        <bgColor indexed="64"/>
      </patternFill>
    </fill>
    <fill>
      <patternFill patternType="solid">
        <fgColor rgb="FFA5023B"/>
        <bgColor indexed="64"/>
      </patternFill>
    </fill>
    <fill>
      <patternFill patternType="solid">
        <fgColor rgb="FF010138"/>
        <bgColor indexed="64"/>
      </patternFill>
    </fill>
  </fills>
  <borders count="1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CCCCCC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303559"/>
      </left>
      <right/>
      <top/>
      <bottom style="thick">
        <color rgb="FF303559"/>
      </bottom>
      <diagonal/>
    </border>
    <border>
      <left style="thick">
        <color rgb="FF277C4F"/>
      </left>
      <right style="medium">
        <color rgb="FF277C4F"/>
      </right>
      <top style="medium">
        <color rgb="FF277C4F"/>
      </top>
      <bottom style="thick">
        <color rgb="FF277C4F"/>
      </bottom>
      <diagonal/>
    </border>
    <border>
      <left style="thin">
        <color rgb="FFD9EAD3"/>
      </left>
      <right style="medium">
        <color rgb="FF277C4F"/>
      </right>
      <top style="thin">
        <color rgb="FFD9EAD3"/>
      </top>
      <bottom style="thin">
        <color rgb="FFD9EAD3"/>
      </bottom>
      <diagonal/>
    </border>
    <border>
      <left style="thin">
        <color rgb="FFD9EAD3"/>
      </left>
      <right style="medium">
        <color rgb="FF277C4F"/>
      </right>
      <top style="thin">
        <color rgb="FFD9EAD3"/>
      </top>
      <bottom style="medium">
        <color rgb="FF277C4F"/>
      </bottom>
      <diagonal/>
    </border>
    <border>
      <left/>
      <right/>
      <top/>
      <bottom style="medium">
        <color rgb="FFF98304"/>
      </bottom>
      <diagonal/>
    </border>
    <border>
      <left/>
      <right/>
      <top/>
      <bottom style="medium">
        <color rgb="FFF24721"/>
      </bottom>
      <diagonal/>
    </border>
    <border>
      <left/>
      <right/>
      <top style="medium">
        <color rgb="FFFF016C"/>
      </top>
      <bottom/>
      <diagonal/>
    </border>
    <border>
      <left style="thick">
        <color rgb="FFFF016C"/>
      </left>
      <right/>
      <top style="medium">
        <color rgb="FFFF016C"/>
      </top>
      <bottom/>
      <diagonal/>
    </border>
    <border>
      <left style="thick">
        <color rgb="FFFF016C"/>
      </left>
      <right/>
      <top/>
      <bottom/>
      <diagonal/>
    </border>
  </borders>
  <cellStyleXfs count="5">
    <xf numFmtId="0" fontId="0" fillId="0" borderId="0"/>
    <xf numFmtId="0" fontId="6" fillId="0" borderId="0">
      <alignment vertical="center"/>
    </xf>
    <xf numFmtId="0" fontId="8" fillId="0" borderId="0"/>
    <xf numFmtId="0" fontId="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9" fillId="0" borderId="0" xfId="4"/>
    <xf numFmtId="0" fontId="9" fillId="5" borderId="1" xfId="4" applyFill="1" applyBorder="1" applyAlignment="1">
      <alignment vertical="center" wrapText="1"/>
    </xf>
    <xf numFmtId="0" fontId="13" fillId="5" borderId="1" xfId="0" applyFont="1" applyFill="1" applyBorder="1" applyAlignment="1">
      <alignment vertical="center" wrapText="1"/>
    </xf>
    <xf numFmtId="0" fontId="9" fillId="0" borderId="2" xfId="4" applyBorder="1" applyAlignment="1">
      <alignment horizontal="center" wrapText="1"/>
    </xf>
    <xf numFmtId="0" fontId="9" fillId="0" borderId="3" xfId="4" applyBorder="1" applyAlignment="1">
      <alignment horizontal="center" wrapText="1"/>
    </xf>
    <xf numFmtId="0" fontId="9" fillId="0" borderId="4" xfId="4" applyBorder="1" applyAlignment="1">
      <alignment horizontal="center" wrapText="1"/>
    </xf>
    <xf numFmtId="0" fontId="0" fillId="0" borderId="0" xfId="0" applyAlignment="1">
      <alignment horizontal="center"/>
    </xf>
    <xf numFmtId="0" fontId="14" fillId="6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16" fillId="8" borderId="5" xfId="0" applyFont="1" applyFill="1" applyBorder="1" applyAlignment="1">
      <alignment horizontal="center" vertical="center" wrapText="1"/>
    </xf>
    <xf numFmtId="0" fontId="17" fillId="9" borderId="5" xfId="0" applyFont="1" applyFill="1" applyBorder="1" applyAlignment="1">
      <alignment horizontal="center" vertical="center" wrapText="1"/>
    </xf>
    <xf numFmtId="0" fontId="18" fillId="10" borderId="6" xfId="0" applyFont="1" applyFill="1" applyBorder="1" applyAlignment="1">
      <alignment horizontal="center" vertical="center"/>
    </xf>
    <xf numFmtId="0" fontId="9" fillId="10" borderId="7" xfId="4" applyFill="1" applyBorder="1" applyAlignment="1">
      <alignment horizontal="center" vertical="center"/>
    </xf>
    <xf numFmtId="0" fontId="9" fillId="10" borderId="8" xfId="4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9" fillId="21" borderId="0" xfId="0" applyFont="1" applyFill="1" applyAlignment="1">
      <alignment horizontal="center" vertical="center" wrapText="1"/>
    </xf>
    <xf numFmtId="0" fontId="19" fillId="22" borderId="0" xfId="0" applyFont="1" applyFill="1" applyAlignment="1">
      <alignment horizontal="center" vertical="center" wrapText="1"/>
    </xf>
    <xf numFmtId="0" fontId="19" fillId="22" borderId="9" xfId="0" applyFont="1" applyFill="1" applyBorder="1" applyAlignment="1">
      <alignment horizontal="center" vertical="center" wrapText="1"/>
    </xf>
    <xf numFmtId="0" fontId="19" fillId="23" borderId="0" xfId="0" applyFont="1" applyFill="1" applyAlignment="1">
      <alignment horizontal="center" vertical="center" wrapText="1"/>
    </xf>
    <xf numFmtId="0" fontId="20" fillId="22" borderId="0" xfId="0" applyFont="1" applyFill="1" applyAlignment="1">
      <alignment horizontal="center" vertical="center" wrapText="1"/>
    </xf>
    <xf numFmtId="0" fontId="20" fillId="22" borderId="9" xfId="0" applyFont="1" applyFill="1" applyBorder="1" applyAlignment="1">
      <alignment horizontal="center" vertical="center" wrapText="1"/>
    </xf>
    <xf numFmtId="0" fontId="20" fillId="23" borderId="0" xfId="0" applyFont="1" applyFill="1" applyAlignment="1">
      <alignment horizontal="center" vertical="center" wrapText="1"/>
    </xf>
    <xf numFmtId="0" fontId="19" fillId="11" borderId="10" xfId="0" applyFont="1" applyFill="1" applyBorder="1" applyAlignment="1">
      <alignment horizontal="center" vertical="center" wrapText="1"/>
    </xf>
    <xf numFmtId="0" fontId="19" fillId="12" borderId="10" xfId="0" applyFont="1" applyFill="1" applyBorder="1" applyAlignment="1">
      <alignment horizontal="center" vertical="center" wrapText="1"/>
    </xf>
    <xf numFmtId="0" fontId="19" fillId="13" borderId="9" xfId="0" applyFont="1" applyFill="1" applyBorder="1" applyAlignment="1">
      <alignment horizontal="center" vertical="center" wrapText="1"/>
    </xf>
    <xf numFmtId="0" fontId="19" fillId="14" borderId="10" xfId="0" applyFont="1" applyFill="1" applyBorder="1" applyAlignment="1">
      <alignment horizontal="center" vertical="center" wrapText="1"/>
    </xf>
    <xf numFmtId="0" fontId="19" fillId="15" borderId="10" xfId="0" applyFont="1" applyFill="1" applyBorder="1" applyAlignment="1">
      <alignment horizontal="center" vertical="center" wrapText="1"/>
    </xf>
    <xf numFmtId="0" fontId="19" fillId="16" borderId="9" xfId="0" applyFont="1" applyFill="1" applyBorder="1" applyAlignment="1">
      <alignment horizontal="center" vertical="center" wrapText="1"/>
    </xf>
    <xf numFmtId="0" fontId="19" fillId="17" borderId="10" xfId="0" applyFont="1" applyFill="1" applyBorder="1" applyAlignment="1">
      <alignment horizontal="center" vertical="center" wrapText="1"/>
    </xf>
    <xf numFmtId="0" fontId="19" fillId="18" borderId="10" xfId="0" applyFont="1" applyFill="1" applyBorder="1" applyAlignment="1">
      <alignment horizontal="center" vertical="center" wrapText="1"/>
    </xf>
    <xf numFmtId="0" fontId="19" fillId="19" borderId="10" xfId="0" applyFont="1" applyFill="1" applyBorder="1" applyAlignment="1">
      <alignment horizontal="center" vertical="center" wrapText="1"/>
    </xf>
    <xf numFmtId="0" fontId="19" fillId="20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11" fillId="4" borderId="0" xfId="0" applyFont="1" applyFill="1" applyAlignment="1">
      <alignment horizontal="left" wrapText="1"/>
    </xf>
    <xf numFmtId="0" fontId="3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1" fillId="24" borderId="11" xfId="0" applyFont="1" applyFill="1" applyBorder="1" applyAlignment="1">
      <alignment horizontal="center" vertical="center" wrapText="1"/>
    </xf>
    <xf numFmtId="0" fontId="21" fillId="24" borderId="0" xfId="0" applyFont="1" applyFill="1" applyAlignment="1">
      <alignment horizontal="center" vertical="center" wrapText="1"/>
    </xf>
    <xf numFmtId="0" fontId="21" fillId="24" borderId="12" xfId="0" applyFont="1" applyFill="1" applyBorder="1" applyAlignment="1">
      <alignment horizontal="center" vertical="center" wrapText="1"/>
    </xf>
    <xf numFmtId="0" fontId="21" fillId="24" borderId="13" xfId="0" applyFont="1" applyFill="1" applyBorder="1" applyAlignment="1">
      <alignment horizontal="center" vertical="center" wrapText="1"/>
    </xf>
  </cellXfs>
  <cellStyles count="5">
    <cellStyle name="常规" xfId="0" builtinId="0"/>
    <cellStyle name="常规 2" xfId="2" xr:uid="{7E0D03F8-8550-474D-A3A7-3F47D175B4FE}"/>
    <cellStyle name="常规 3" xfId="1" xr:uid="{8210E84D-A243-4508-A258-2B507FDCAAA6}"/>
    <cellStyle name="超链接" xfId="4" builtinId="8"/>
    <cellStyle name="超链接 2" xfId="3" xr:uid="{45425DC9-A299-4809-AED5-D482CC038F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osu.ppy.sh/community/matches/113930294" TargetMode="External"/><Relationship Id="rId18" Type="http://schemas.openxmlformats.org/officeDocument/2006/relationships/hyperlink" Target="https://osu.ppy.sh/community/matches/113933257" TargetMode="External"/><Relationship Id="rId26" Type="http://schemas.openxmlformats.org/officeDocument/2006/relationships/hyperlink" Target="https://osu.ppy.sh/community/matches/113945115" TargetMode="External"/><Relationship Id="rId3" Type="http://schemas.openxmlformats.org/officeDocument/2006/relationships/hyperlink" Target="https://osu.ppy.sh/community/matches/113913618" TargetMode="External"/><Relationship Id="rId21" Type="http://schemas.openxmlformats.org/officeDocument/2006/relationships/hyperlink" Target="https://osu.ppy.sh/community/matches/113942781" TargetMode="External"/><Relationship Id="rId34" Type="http://schemas.openxmlformats.org/officeDocument/2006/relationships/hyperlink" Target="https://osu.ppy.sh/mp/" TargetMode="External"/><Relationship Id="rId7" Type="http://schemas.openxmlformats.org/officeDocument/2006/relationships/hyperlink" Target="https://osu.ppy.sh/community/matches/113926261" TargetMode="External"/><Relationship Id="rId12" Type="http://schemas.openxmlformats.org/officeDocument/2006/relationships/hyperlink" Target="https://osu.ppy.sh/community/matches/113929476" TargetMode="External"/><Relationship Id="rId17" Type="http://schemas.openxmlformats.org/officeDocument/2006/relationships/hyperlink" Target="https://osu.ppy.sh/mp/113931950" TargetMode="External"/><Relationship Id="rId25" Type="http://schemas.openxmlformats.org/officeDocument/2006/relationships/hyperlink" Target="https://osu.ppy.sh/community/matches/113944992" TargetMode="External"/><Relationship Id="rId33" Type="http://schemas.openxmlformats.org/officeDocument/2006/relationships/hyperlink" Target="https://osu.ppy.sh/mp/" TargetMode="External"/><Relationship Id="rId2" Type="http://schemas.openxmlformats.org/officeDocument/2006/relationships/hyperlink" Target="https://osu.ppy.sh/community/matches/113913250" TargetMode="External"/><Relationship Id="rId16" Type="http://schemas.openxmlformats.org/officeDocument/2006/relationships/hyperlink" Target="https://osu.ppy.sh/community/matches/113931691" TargetMode="External"/><Relationship Id="rId20" Type="http://schemas.openxmlformats.org/officeDocument/2006/relationships/hyperlink" Target="https://osu.ppy.sh/community/matches/113936461" TargetMode="External"/><Relationship Id="rId29" Type="http://schemas.openxmlformats.org/officeDocument/2006/relationships/hyperlink" Target="https://osu.ppy.sh/community/matches/113948262" TargetMode="External"/><Relationship Id="rId1" Type="http://schemas.openxmlformats.org/officeDocument/2006/relationships/hyperlink" Target="https://osu.ppy.sh/community/matches/113878936" TargetMode="External"/><Relationship Id="rId6" Type="http://schemas.openxmlformats.org/officeDocument/2006/relationships/hyperlink" Target="https://osu.ppy.sh/community/matches/113924923" TargetMode="External"/><Relationship Id="rId11" Type="http://schemas.openxmlformats.org/officeDocument/2006/relationships/hyperlink" Target="https://osu.ppy.sh/community/matches/113929301" TargetMode="External"/><Relationship Id="rId24" Type="http://schemas.openxmlformats.org/officeDocument/2006/relationships/hyperlink" Target="https://osu.ppy.sh/mp/113944797" TargetMode="External"/><Relationship Id="rId32" Type="http://schemas.openxmlformats.org/officeDocument/2006/relationships/hyperlink" Target="https://osu.ppy.sh/community/matches/113960932" TargetMode="External"/><Relationship Id="rId5" Type="http://schemas.openxmlformats.org/officeDocument/2006/relationships/hyperlink" Target="https://osu.ppy.sh/community/matches/113924249" TargetMode="External"/><Relationship Id="rId15" Type="http://schemas.openxmlformats.org/officeDocument/2006/relationships/hyperlink" Target="https://osu.ppy.sh/community/matches/113931245" TargetMode="External"/><Relationship Id="rId23" Type="http://schemas.openxmlformats.org/officeDocument/2006/relationships/hyperlink" Target="https://osu.ppy.sh/community/matches/113944041" TargetMode="External"/><Relationship Id="rId28" Type="http://schemas.openxmlformats.org/officeDocument/2006/relationships/hyperlink" Target="https://osu.ppy.sh/mp/113947079" TargetMode="External"/><Relationship Id="rId36" Type="http://schemas.openxmlformats.org/officeDocument/2006/relationships/printerSettings" Target="../printerSettings/printerSettings2.bin"/><Relationship Id="rId10" Type="http://schemas.openxmlformats.org/officeDocument/2006/relationships/hyperlink" Target="https://osu.ppy.sh/community/matches/113928822" TargetMode="External"/><Relationship Id="rId19" Type="http://schemas.openxmlformats.org/officeDocument/2006/relationships/hyperlink" Target="https://osu.ppy.sh/community/matches/113933244" TargetMode="External"/><Relationship Id="rId31" Type="http://schemas.openxmlformats.org/officeDocument/2006/relationships/hyperlink" Target="https://osu.ppy.sh/community/matches/113955398" TargetMode="External"/><Relationship Id="rId4" Type="http://schemas.openxmlformats.org/officeDocument/2006/relationships/hyperlink" Target="https://osu.ppy.sh/community/matches/113923236" TargetMode="External"/><Relationship Id="rId9" Type="http://schemas.openxmlformats.org/officeDocument/2006/relationships/hyperlink" Target="https://osu.ppy.sh/community/matches/113927008" TargetMode="External"/><Relationship Id="rId14" Type="http://schemas.openxmlformats.org/officeDocument/2006/relationships/hyperlink" Target="https://osu.ppy.sh/community/matches/113930980" TargetMode="External"/><Relationship Id="rId22" Type="http://schemas.openxmlformats.org/officeDocument/2006/relationships/hyperlink" Target="https://osu.ppy.sh/community/matches/113943232" TargetMode="External"/><Relationship Id="rId27" Type="http://schemas.openxmlformats.org/officeDocument/2006/relationships/hyperlink" Target="https://osu.ppy.sh/community/matches/113946816" TargetMode="External"/><Relationship Id="rId30" Type="http://schemas.openxmlformats.org/officeDocument/2006/relationships/hyperlink" Target="https://osu.ppy.sh/community/matches/113950712" TargetMode="External"/><Relationship Id="rId35" Type="http://schemas.openxmlformats.org/officeDocument/2006/relationships/hyperlink" Target="https://osu.ppy.sh/mp/" TargetMode="External"/><Relationship Id="rId8" Type="http://schemas.openxmlformats.org/officeDocument/2006/relationships/hyperlink" Target="https://osu.ppy.sh/community/matches/11392631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22"/>
  <sheetViews>
    <sheetView tabSelected="1" zoomScaleNormal="100" workbookViewId="0">
      <selection activeCell="J13" sqref="J13"/>
    </sheetView>
  </sheetViews>
  <sheetFormatPr defaultRowHeight="14"/>
  <cols>
    <col min="1" max="1" width="2.58203125" style="3" customWidth="1"/>
    <col min="3" max="3" width="9.5" bestFit="1" customWidth="1"/>
    <col min="4" max="4" width="2.58203125" style="3" customWidth="1"/>
    <col min="7" max="7" width="2.58203125" style="3" customWidth="1"/>
    <col min="8" max="8" width="28.83203125" customWidth="1"/>
    <col min="9" max="9" width="2.58203125" style="3" customWidth="1"/>
    <col min="10" max="10" width="20.58203125" style="1" customWidth="1"/>
    <col min="11" max="11" width="2.58203125" style="3" customWidth="1"/>
    <col min="12" max="12" width="3" customWidth="1"/>
    <col min="13" max="13" width="23.58203125" customWidth="1"/>
    <col min="14" max="14" width="2.08203125" customWidth="1"/>
    <col min="15" max="15" width="7.25" customWidth="1"/>
    <col min="16" max="16" width="3.1640625" customWidth="1"/>
    <col min="17" max="17" width="2.83203125" style="3" customWidth="1"/>
  </cols>
  <sheetData>
    <row r="1" spans="1:16" s="3" customFormat="1">
      <c r="A1" s="2"/>
      <c r="B1" s="2"/>
      <c r="C1" s="2"/>
      <c r="E1" s="2"/>
      <c r="F1" s="2"/>
      <c r="J1" s="5"/>
    </row>
    <row r="2" spans="1:16">
      <c r="B2" s="47" t="s">
        <v>2</v>
      </c>
      <c r="C2" s="47"/>
      <c r="E2" s="47" t="s">
        <v>7</v>
      </c>
      <c r="F2" s="47"/>
      <c r="H2" s="48" t="s">
        <v>6</v>
      </c>
      <c r="J2" s="49" t="s">
        <v>3</v>
      </c>
      <c r="L2" s="49" t="s">
        <v>8</v>
      </c>
      <c r="M2" s="49"/>
      <c r="N2" s="49"/>
      <c r="O2" s="49"/>
      <c r="P2" s="49"/>
    </row>
    <row r="3" spans="1:16" ht="14.5" thickBot="1">
      <c r="B3" s="4" t="s">
        <v>1</v>
      </c>
      <c r="C3" s="4" t="s">
        <v>0</v>
      </c>
      <c r="E3" s="4" t="s">
        <v>4</v>
      </c>
      <c r="F3" s="4" t="s">
        <v>5</v>
      </c>
      <c r="H3" s="49"/>
      <c r="J3" s="49"/>
      <c r="L3" s="49"/>
      <c r="M3" s="49"/>
      <c r="N3" s="49"/>
      <c r="O3" s="49"/>
      <c r="P3" s="49"/>
    </row>
    <row r="4" spans="1:16" ht="14.5" customHeight="1" thickBot="1">
      <c r="B4" s="50" t="s">
        <v>30</v>
      </c>
      <c r="C4" s="52">
        <v>432155</v>
      </c>
      <c r="E4" s="6"/>
      <c r="F4" s="6"/>
      <c r="H4" s="6"/>
      <c r="J4" s="34">
        <v>114197234</v>
      </c>
      <c r="L4" s="44" t="s">
        <v>10</v>
      </c>
      <c r="M4" s="44"/>
      <c r="N4" s="44"/>
      <c r="O4" s="45" t="b">
        <v>0</v>
      </c>
      <c r="P4" s="45"/>
    </row>
    <row r="5" spans="1:16" ht="14" customHeight="1" thickBot="1">
      <c r="B5" s="51" t="s">
        <v>31</v>
      </c>
      <c r="C5" s="53">
        <v>4020950</v>
      </c>
      <c r="E5" s="6"/>
      <c r="F5" s="6"/>
      <c r="J5" s="35">
        <v>114227091</v>
      </c>
      <c r="L5" s="46" t="s">
        <v>9</v>
      </c>
      <c r="M5" s="46"/>
      <c r="N5" s="46"/>
      <c r="O5" s="46"/>
      <c r="P5" s="46"/>
    </row>
    <row r="6" spans="1:16" ht="14.5" customHeight="1" thickBot="1">
      <c r="B6" s="51" t="s">
        <v>32</v>
      </c>
      <c r="C6" s="53">
        <v>2257469</v>
      </c>
      <c r="J6" s="36">
        <v>114228283</v>
      </c>
      <c r="L6" s="46"/>
      <c r="M6" s="46"/>
      <c r="N6" s="46"/>
      <c r="O6" s="46"/>
      <c r="P6" s="46"/>
    </row>
    <row r="7" spans="1:16" ht="14.5" customHeight="1" thickBot="1">
      <c r="B7" s="51" t="s">
        <v>33</v>
      </c>
      <c r="C7" s="53">
        <v>1173889</v>
      </c>
      <c r="J7" s="37">
        <v>114228353</v>
      </c>
      <c r="L7" s="45" t="s">
        <v>71</v>
      </c>
      <c r="M7" s="45"/>
      <c r="N7" s="45"/>
      <c r="O7" s="45" t="s">
        <v>73</v>
      </c>
      <c r="P7" s="45"/>
    </row>
    <row r="8" spans="1:16" ht="14.5" customHeight="1" thickBot="1">
      <c r="B8" s="51" t="s">
        <v>34</v>
      </c>
      <c r="C8" s="53">
        <v>2565268</v>
      </c>
      <c r="J8" s="38">
        <v>114224101</v>
      </c>
    </row>
    <row r="9" spans="1:16" ht="14.5" customHeight="1" thickBot="1">
      <c r="B9" s="51" t="s">
        <v>76</v>
      </c>
      <c r="C9" s="53">
        <v>2916575</v>
      </c>
      <c r="J9" s="39">
        <v>114216608</v>
      </c>
    </row>
    <row r="10" spans="1:16" ht="14.5" customHeight="1" thickBot="1">
      <c r="B10" s="51" t="s">
        <v>77</v>
      </c>
      <c r="C10" s="53">
        <v>3021082</v>
      </c>
      <c r="J10" s="40">
        <v>114225760</v>
      </c>
    </row>
    <row r="11" spans="1:16" ht="14.5" customHeight="1" thickBot="1">
      <c r="B11" s="51" t="s">
        <v>78</v>
      </c>
      <c r="C11" s="53">
        <v>2384149</v>
      </c>
      <c r="J11" s="41">
        <v>114231852</v>
      </c>
    </row>
    <row r="12" spans="1:16" ht="14.5" customHeight="1" thickBot="1">
      <c r="B12" s="51" t="s">
        <v>79</v>
      </c>
      <c r="C12" s="53">
        <v>26436</v>
      </c>
      <c r="J12" s="42">
        <v>114212100</v>
      </c>
    </row>
    <row r="13" spans="1:16" ht="14.5" customHeight="1" thickBot="1">
      <c r="B13" s="51" t="s">
        <v>80</v>
      </c>
      <c r="C13" s="53">
        <v>3183779</v>
      </c>
      <c r="J13" s="43">
        <v>114223135</v>
      </c>
    </row>
    <row r="14" spans="1:16" ht="14.5" customHeight="1">
      <c r="B14" s="51" t="s">
        <v>81</v>
      </c>
      <c r="C14" s="53">
        <v>3216854</v>
      </c>
      <c r="J14" s="27">
        <v>114182886</v>
      </c>
    </row>
    <row r="15" spans="1:16" ht="14.5" customHeight="1">
      <c r="B15" s="51" t="s">
        <v>82</v>
      </c>
      <c r="C15" s="53">
        <v>4053558</v>
      </c>
      <c r="J15" s="26">
        <v>114226442</v>
      </c>
    </row>
    <row r="16" spans="1:16" ht="14.5" customHeight="1">
      <c r="B16" s="51" t="s">
        <v>83</v>
      </c>
      <c r="C16" s="53">
        <v>3204596</v>
      </c>
      <c r="J16" s="20">
        <v>114223467</v>
      </c>
    </row>
    <row r="17" spans="2:10" ht="14.5" customHeight="1">
      <c r="B17" s="51" t="s">
        <v>84</v>
      </c>
      <c r="C17" s="53">
        <v>3674403</v>
      </c>
      <c r="J17" s="20">
        <v>114224871</v>
      </c>
    </row>
    <row r="18" spans="2:10" ht="14.5" customHeight="1">
      <c r="B18" s="31"/>
      <c r="C18" s="28"/>
      <c r="E18" s="6"/>
      <c r="F18" s="6"/>
      <c r="J18" s="20">
        <v>114228343</v>
      </c>
    </row>
    <row r="19" spans="2:10" ht="14.5" customHeight="1" thickBot="1">
      <c r="B19" s="32"/>
      <c r="C19" s="29"/>
      <c r="J19" s="20"/>
    </row>
    <row r="20" spans="2:10" ht="14" customHeight="1">
      <c r="B20" s="33"/>
      <c r="C20" s="30"/>
      <c r="J20" s="18"/>
    </row>
    <row r="21" spans="2:10" ht="14.5" customHeight="1" thickBot="1">
      <c r="B21" s="21"/>
      <c r="J21" s="18"/>
    </row>
    <row r="22" spans="2:10" ht="14" customHeight="1" thickTop="1" thickBot="1">
      <c r="B22" s="21"/>
      <c r="H22" s="6"/>
      <c r="J22" s="18"/>
    </row>
    <row r="23" spans="2:10" ht="14.5" customHeight="1" thickTop="1" thickBot="1">
      <c r="B23" s="22"/>
      <c r="H23" s="6"/>
      <c r="J23" s="18"/>
    </row>
    <row r="24" spans="2:10" ht="14" customHeight="1" thickTop="1" thickBot="1">
      <c r="B24" s="22"/>
      <c r="C24" s="19"/>
      <c r="H24" s="6"/>
      <c r="J24" s="18"/>
    </row>
    <row r="25" spans="2:10" ht="14.5" customHeight="1" thickTop="1">
      <c r="H25" s="6"/>
      <c r="J25" s="8"/>
    </row>
    <row r="26" spans="2:10">
      <c r="H26" s="6"/>
      <c r="J26" s="8"/>
    </row>
    <row r="27" spans="2:10">
      <c r="H27" s="6"/>
      <c r="J27" s="8"/>
    </row>
    <row r="28" spans="2:10">
      <c r="H28" s="6"/>
      <c r="J28" s="8"/>
    </row>
    <row r="29" spans="2:10">
      <c r="H29" s="6"/>
      <c r="J29" s="18"/>
    </row>
    <row r="30" spans="2:10">
      <c r="H30" s="6"/>
      <c r="J30" s="18"/>
    </row>
    <row r="31" spans="2:10">
      <c r="H31" s="6"/>
      <c r="J31" s="18"/>
    </row>
    <row r="32" spans="2:10">
      <c r="H32" s="6"/>
      <c r="J32" s="18"/>
    </row>
    <row r="33" spans="8:10">
      <c r="H33" s="6"/>
      <c r="J33" s="7"/>
    </row>
    <row r="34" spans="8:10">
      <c r="H34" s="6"/>
      <c r="J34" s="18"/>
    </row>
    <row r="35" spans="8:10">
      <c r="H35" s="6"/>
      <c r="J35" s="18"/>
    </row>
    <row r="36" spans="8:10">
      <c r="H36" s="6"/>
      <c r="J36" s="18"/>
    </row>
    <row r="37" spans="8:10">
      <c r="H37" s="6"/>
      <c r="J37" s="18"/>
    </row>
    <row r="38" spans="8:10">
      <c r="H38" s="6"/>
      <c r="J38" s="18"/>
    </row>
    <row r="39" spans="8:10">
      <c r="H39" s="6"/>
      <c r="J39" s="18"/>
    </row>
    <row r="40" spans="8:10">
      <c r="H40" s="6"/>
      <c r="J40" s="18"/>
    </row>
    <row r="41" spans="8:10">
      <c r="H41" s="6"/>
      <c r="J41" s="18"/>
    </row>
    <row r="42" spans="8:10">
      <c r="H42" s="6"/>
      <c r="J42" s="18"/>
    </row>
    <row r="43" spans="8:10">
      <c r="H43" s="6"/>
      <c r="J43" s="18"/>
    </row>
    <row r="44" spans="8:10">
      <c r="H44" s="6"/>
      <c r="J44" s="18"/>
    </row>
    <row r="45" spans="8:10">
      <c r="H45" s="6"/>
      <c r="J45" s="18"/>
    </row>
    <row r="46" spans="8:10">
      <c r="H46" s="6"/>
      <c r="J46" s="18"/>
    </row>
    <row r="47" spans="8:10">
      <c r="H47" s="6"/>
      <c r="J47" s="18"/>
    </row>
    <row r="48" spans="8:10">
      <c r="H48" s="6"/>
      <c r="J48" s="18"/>
    </row>
    <row r="49" spans="8:8">
      <c r="H49" s="6"/>
    </row>
    <row r="50" spans="8:8">
      <c r="H50" s="6"/>
    </row>
    <row r="51" spans="8:8">
      <c r="H51" s="6"/>
    </row>
    <row r="52" spans="8:8">
      <c r="H52" s="6"/>
    </row>
    <row r="53" spans="8:8">
      <c r="H53" s="6"/>
    </row>
    <row r="54" spans="8:8">
      <c r="H54" s="6"/>
    </row>
    <row r="55" spans="8:8">
      <c r="H55" s="6"/>
    </row>
    <row r="56" spans="8:8">
      <c r="H56" s="6"/>
    </row>
    <row r="57" spans="8:8">
      <c r="H57" s="6"/>
    </row>
    <row r="58" spans="8:8">
      <c r="H58" s="6"/>
    </row>
    <row r="59" spans="8:8">
      <c r="H59" s="6"/>
    </row>
    <row r="60" spans="8:8">
      <c r="H60" s="6"/>
    </row>
    <row r="61" spans="8:8">
      <c r="H61" s="6"/>
    </row>
    <row r="62" spans="8:8">
      <c r="H62" s="6"/>
    </row>
    <row r="63" spans="8:8">
      <c r="H63" s="6"/>
    </row>
    <row r="64" spans="8:8">
      <c r="H64" s="6"/>
    </row>
    <row r="65" spans="8:8">
      <c r="H65" s="6"/>
    </row>
    <row r="66" spans="8:8">
      <c r="H66" s="6"/>
    </row>
    <row r="67" spans="8:8">
      <c r="H67" s="6"/>
    </row>
    <row r="68" spans="8:8">
      <c r="H68" s="6"/>
    </row>
    <row r="69" spans="8:8">
      <c r="H69" s="6"/>
    </row>
    <row r="70" spans="8:8">
      <c r="H70" s="6"/>
    </row>
    <row r="71" spans="8:8">
      <c r="H71" s="6"/>
    </row>
    <row r="72" spans="8:8">
      <c r="H72" s="6"/>
    </row>
    <row r="73" spans="8:8">
      <c r="H73" s="6"/>
    </row>
    <row r="74" spans="8:8">
      <c r="H74" s="6"/>
    </row>
    <row r="75" spans="8:8">
      <c r="H75" s="6"/>
    </row>
    <row r="76" spans="8:8">
      <c r="H76" s="6"/>
    </row>
    <row r="77" spans="8:8">
      <c r="H77" s="6"/>
    </row>
    <row r="78" spans="8:8">
      <c r="H78" s="6"/>
    </row>
    <row r="79" spans="8:8">
      <c r="H79" s="6"/>
    </row>
    <row r="80" spans="8:8">
      <c r="H80" s="6"/>
    </row>
    <row r="81" spans="8:8">
      <c r="H81" s="6"/>
    </row>
    <row r="82" spans="8:8">
      <c r="H82" s="6"/>
    </row>
    <row r="83" spans="8:8">
      <c r="H83" s="6"/>
    </row>
    <row r="84" spans="8:8">
      <c r="H84" s="6"/>
    </row>
    <row r="85" spans="8:8">
      <c r="H85" s="6"/>
    </row>
    <row r="86" spans="8:8">
      <c r="H86" s="6"/>
    </row>
    <row r="87" spans="8:8">
      <c r="H87" s="6"/>
    </row>
    <row r="88" spans="8:8">
      <c r="H88" s="6"/>
    </row>
    <row r="89" spans="8:8">
      <c r="H89" s="6"/>
    </row>
    <row r="90" spans="8:8">
      <c r="H90" s="6"/>
    </row>
    <row r="91" spans="8:8">
      <c r="H91" s="6"/>
    </row>
    <row r="92" spans="8:8">
      <c r="H92" s="6"/>
    </row>
    <row r="93" spans="8:8">
      <c r="H93" s="6"/>
    </row>
    <row r="94" spans="8:8">
      <c r="H94" s="6"/>
    </row>
    <row r="95" spans="8:8">
      <c r="H95" s="6"/>
    </row>
    <row r="96" spans="8:8">
      <c r="H96" s="6"/>
    </row>
    <row r="97" spans="8:8">
      <c r="H97" s="6"/>
    </row>
    <row r="98" spans="8:8">
      <c r="H98" s="6"/>
    </row>
    <row r="99" spans="8:8">
      <c r="H99" s="6"/>
    </row>
    <row r="100" spans="8:8">
      <c r="H100" s="6"/>
    </row>
    <row r="101" spans="8:8">
      <c r="H101" s="6"/>
    </row>
    <row r="102" spans="8:8">
      <c r="H102" s="6"/>
    </row>
    <row r="103" spans="8:8">
      <c r="H103" s="6"/>
    </row>
    <row r="104" spans="8:8">
      <c r="H104" s="6"/>
    </row>
    <row r="105" spans="8:8">
      <c r="H105" s="6"/>
    </row>
    <row r="106" spans="8:8">
      <c r="H106" s="6"/>
    </row>
    <row r="107" spans="8:8">
      <c r="H107" s="6"/>
    </row>
    <row r="108" spans="8:8">
      <c r="H108" s="6"/>
    </row>
    <row r="109" spans="8:8">
      <c r="H109" s="6"/>
    </row>
    <row r="110" spans="8:8">
      <c r="H110" s="6"/>
    </row>
    <row r="111" spans="8:8">
      <c r="H111" s="6"/>
    </row>
    <row r="112" spans="8:8">
      <c r="H112" s="6"/>
    </row>
    <row r="113" spans="8:8">
      <c r="H113" s="6"/>
    </row>
    <row r="114" spans="8:8">
      <c r="H114" s="6"/>
    </row>
    <row r="115" spans="8:8">
      <c r="H115" s="6"/>
    </row>
    <row r="116" spans="8:8">
      <c r="H116" s="6"/>
    </row>
    <row r="117" spans="8:8">
      <c r="H117" s="6"/>
    </row>
    <row r="118" spans="8:8">
      <c r="H118" s="6"/>
    </row>
    <row r="119" spans="8:8">
      <c r="H119" s="6"/>
    </row>
    <row r="120" spans="8:8">
      <c r="H120" s="6"/>
    </row>
    <row r="121" spans="8:8">
      <c r="H121" s="6"/>
    </row>
    <row r="122" spans="8:8">
      <c r="H122" s="6"/>
    </row>
    <row r="123" spans="8:8">
      <c r="H123" s="6"/>
    </row>
    <row r="124" spans="8:8">
      <c r="H124" s="6"/>
    </row>
    <row r="125" spans="8:8">
      <c r="H125" s="6"/>
    </row>
    <row r="126" spans="8:8">
      <c r="H126" s="6"/>
    </row>
    <row r="127" spans="8:8">
      <c r="H127" s="6"/>
    </row>
    <row r="128" spans="8:8">
      <c r="H128" s="6"/>
    </row>
    <row r="129" spans="8:8">
      <c r="H129" s="6"/>
    </row>
    <row r="130" spans="8:8">
      <c r="H130" s="6"/>
    </row>
    <row r="131" spans="8:8">
      <c r="H131" s="6"/>
    </row>
    <row r="132" spans="8:8">
      <c r="H132" s="6"/>
    </row>
    <row r="133" spans="8:8">
      <c r="H133" s="6"/>
    </row>
    <row r="134" spans="8:8">
      <c r="H134" s="6"/>
    </row>
    <row r="135" spans="8:8">
      <c r="H135" s="6"/>
    </row>
    <row r="136" spans="8:8">
      <c r="H136" s="6"/>
    </row>
    <row r="137" spans="8:8">
      <c r="H137" s="6"/>
    </row>
    <row r="138" spans="8:8">
      <c r="H138" s="6"/>
    </row>
    <row r="139" spans="8:8">
      <c r="H139" s="6"/>
    </row>
    <row r="140" spans="8:8">
      <c r="H140" s="6"/>
    </row>
    <row r="141" spans="8:8">
      <c r="H141" s="6"/>
    </row>
    <row r="142" spans="8:8">
      <c r="H142" s="6"/>
    </row>
    <row r="143" spans="8:8">
      <c r="H143" s="6"/>
    </row>
    <row r="144" spans="8:8">
      <c r="H144" s="6"/>
    </row>
    <row r="145" spans="8:8">
      <c r="H145" s="6"/>
    </row>
    <row r="146" spans="8:8">
      <c r="H146" s="6"/>
    </row>
    <row r="147" spans="8:8">
      <c r="H147" s="6"/>
    </row>
    <row r="148" spans="8:8">
      <c r="H148" s="6"/>
    </row>
    <row r="149" spans="8:8">
      <c r="H149" s="6"/>
    </row>
    <row r="150" spans="8:8">
      <c r="H150" s="6"/>
    </row>
    <row r="151" spans="8:8">
      <c r="H151" s="6"/>
    </row>
    <row r="152" spans="8:8">
      <c r="H152" s="6"/>
    </row>
    <row r="153" spans="8:8">
      <c r="H153" s="6"/>
    </row>
    <row r="154" spans="8:8">
      <c r="H154" s="6"/>
    </row>
    <row r="155" spans="8:8">
      <c r="H155" s="6"/>
    </row>
    <row r="156" spans="8:8">
      <c r="H156" s="6"/>
    </row>
    <row r="157" spans="8:8">
      <c r="H157" s="6"/>
    </row>
    <row r="158" spans="8:8">
      <c r="H158" s="6"/>
    </row>
    <row r="159" spans="8:8">
      <c r="H159" s="6"/>
    </row>
    <row r="160" spans="8:8">
      <c r="H160" s="6"/>
    </row>
    <row r="161" spans="8:8">
      <c r="H161" s="6"/>
    </row>
    <row r="162" spans="8:8">
      <c r="H162" s="6"/>
    </row>
    <row r="163" spans="8:8">
      <c r="H163" s="6"/>
    </row>
    <row r="164" spans="8:8">
      <c r="H164" s="6"/>
    </row>
    <row r="165" spans="8:8">
      <c r="H165" s="6"/>
    </row>
    <row r="166" spans="8:8">
      <c r="H166" s="6"/>
    </row>
    <row r="167" spans="8:8">
      <c r="H167" s="6"/>
    </row>
    <row r="168" spans="8:8">
      <c r="H168" s="6"/>
    </row>
    <row r="169" spans="8:8">
      <c r="H169" s="6"/>
    </row>
    <row r="170" spans="8:8">
      <c r="H170" s="6"/>
    </row>
    <row r="171" spans="8:8">
      <c r="H171" s="6"/>
    </row>
    <row r="172" spans="8:8">
      <c r="H172" s="6"/>
    </row>
    <row r="173" spans="8:8">
      <c r="H173" s="6"/>
    </row>
    <row r="174" spans="8:8">
      <c r="H174" s="6"/>
    </row>
    <row r="175" spans="8:8">
      <c r="H175" s="6"/>
    </row>
    <row r="176" spans="8:8">
      <c r="H176" s="6"/>
    </row>
    <row r="177" spans="8:8">
      <c r="H177" s="6"/>
    </row>
    <row r="178" spans="8:8">
      <c r="H178" s="6"/>
    </row>
    <row r="179" spans="8:8">
      <c r="H179" s="6"/>
    </row>
    <row r="180" spans="8:8">
      <c r="H180" s="6"/>
    </row>
    <row r="181" spans="8:8">
      <c r="H181" s="6"/>
    </row>
    <row r="182" spans="8:8">
      <c r="H182" s="6"/>
    </row>
    <row r="183" spans="8:8">
      <c r="H183" s="6"/>
    </row>
    <row r="184" spans="8:8">
      <c r="H184" s="6"/>
    </row>
    <row r="185" spans="8:8">
      <c r="H185" s="6"/>
    </row>
    <row r="186" spans="8:8">
      <c r="H186" s="6"/>
    </row>
    <row r="187" spans="8:8">
      <c r="H187" s="6"/>
    </row>
    <row r="188" spans="8:8">
      <c r="H188" s="6"/>
    </row>
    <row r="189" spans="8:8">
      <c r="H189" s="6"/>
    </row>
    <row r="190" spans="8:8">
      <c r="H190" s="6"/>
    </row>
    <row r="191" spans="8:8">
      <c r="H191" s="6"/>
    </row>
    <row r="192" spans="8:8">
      <c r="H192" s="6"/>
    </row>
    <row r="193" spans="8:8">
      <c r="H193" s="6"/>
    </row>
    <row r="194" spans="8:8">
      <c r="H194" s="6"/>
    </row>
    <row r="195" spans="8:8">
      <c r="H195" s="6"/>
    </row>
    <row r="196" spans="8:8">
      <c r="H196" s="6"/>
    </row>
    <row r="197" spans="8:8">
      <c r="H197" s="6"/>
    </row>
    <row r="198" spans="8:8">
      <c r="H198" s="6"/>
    </row>
    <row r="199" spans="8:8">
      <c r="H199" s="6"/>
    </row>
    <row r="200" spans="8:8">
      <c r="H200" s="6"/>
    </row>
    <row r="201" spans="8:8">
      <c r="H201" s="6"/>
    </row>
    <row r="202" spans="8:8">
      <c r="H202" s="6"/>
    </row>
    <row r="203" spans="8:8">
      <c r="H203" s="6"/>
    </row>
    <row r="204" spans="8:8">
      <c r="H204" s="6"/>
    </row>
    <row r="205" spans="8:8">
      <c r="H205" s="6"/>
    </row>
    <row r="206" spans="8:8">
      <c r="H206" s="6"/>
    </row>
    <row r="207" spans="8:8">
      <c r="H207" s="6"/>
    </row>
    <row r="208" spans="8:8">
      <c r="H208" s="6"/>
    </row>
    <row r="209" spans="8:8">
      <c r="H209" s="6"/>
    </row>
    <row r="210" spans="8:8">
      <c r="H210" s="6"/>
    </row>
    <row r="211" spans="8:8">
      <c r="H211" s="6"/>
    </row>
    <row r="212" spans="8:8">
      <c r="H212" s="6"/>
    </row>
    <row r="213" spans="8:8">
      <c r="H213" s="6"/>
    </row>
    <row r="214" spans="8:8">
      <c r="H214" s="6"/>
    </row>
    <row r="215" spans="8:8">
      <c r="H215" s="6"/>
    </row>
    <row r="216" spans="8:8">
      <c r="H216" s="6"/>
    </row>
    <row r="217" spans="8:8">
      <c r="H217" s="6"/>
    </row>
    <row r="218" spans="8:8">
      <c r="H218" s="6"/>
    </row>
    <row r="219" spans="8:8">
      <c r="H219" s="6"/>
    </row>
    <row r="220" spans="8:8">
      <c r="H220" s="6"/>
    </row>
    <row r="221" spans="8:8">
      <c r="H221" s="6"/>
    </row>
    <row r="222" spans="8:8">
      <c r="H222" s="6"/>
    </row>
  </sheetData>
  <mergeCells count="10">
    <mergeCell ref="L7:N7"/>
    <mergeCell ref="O7:P7"/>
    <mergeCell ref="L4:N4"/>
    <mergeCell ref="O4:P4"/>
    <mergeCell ref="L5:P6"/>
    <mergeCell ref="B2:C2"/>
    <mergeCell ref="H2:H3"/>
    <mergeCell ref="J2:J3"/>
    <mergeCell ref="E2:F2"/>
    <mergeCell ref="L2:P3"/>
  </mergeCells>
  <phoneticPr fontId="1" type="noConversion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3DF8A5-3462-4D9C-917B-A0FDACE6A8C7}">
          <x14:formula1>
            <xm:f>Options!$B$2:$B$3</xm:f>
          </x14:formula1>
          <xm:sqref>O4</xm:sqref>
        </x14:dataValidation>
        <x14:dataValidation type="list" allowBlank="1" showInputMessage="1" showErrorMessage="1" xr:uid="{ED46A2D0-2269-4F76-99A6-857B8F5EEDB2}">
          <x14:formula1>
            <xm:f>Options!$D$2:$D$3</xm:f>
          </x14:formula1>
          <xm:sqref>O7:P7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3A107-E43C-4490-95DA-4D97364B7381}">
  <sheetPr codeName="Sheet2"/>
  <dimension ref="B1:D3"/>
  <sheetViews>
    <sheetView workbookViewId="0">
      <selection activeCell="D4" sqref="D4"/>
    </sheetView>
  </sheetViews>
  <sheetFormatPr defaultRowHeight="14"/>
  <sheetData>
    <row r="1" spans="2:4">
      <c r="B1" t="s">
        <v>11</v>
      </c>
      <c r="D1" t="s">
        <v>72</v>
      </c>
    </row>
    <row r="2" spans="2:4">
      <c r="B2" t="b">
        <v>1</v>
      </c>
      <c r="D2" t="s">
        <v>75</v>
      </c>
    </row>
    <row r="3" spans="2:4">
      <c r="B3" t="b">
        <v>0</v>
      </c>
      <c r="D3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0749C-2422-40D8-9A03-AF8E0E60A503}">
  <sheetPr codeName="Sheet3"/>
  <dimension ref="A1:Q110"/>
  <sheetViews>
    <sheetView topLeftCell="A19" workbookViewId="0">
      <selection activeCell="B49" sqref="B49"/>
    </sheetView>
  </sheetViews>
  <sheetFormatPr defaultRowHeight="14"/>
  <cols>
    <col min="1" max="1" width="10.1640625" bestFit="1" customWidth="1"/>
    <col min="7" max="7" width="8.6640625" customWidth="1"/>
    <col min="11" max="11" width="24.6640625" customWidth="1"/>
    <col min="12" max="12" width="10.1640625" bestFit="1" customWidth="1"/>
    <col min="17" max="17" width="8.6640625" customWidth="1"/>
    <col min="21" max="21" width="19.5" customWidth="1"/>
  </cols>
  <sheetData>
    <row r="1" spans="2:17" ht="14.5" thickBot="1"/>
    <row r="2" spans="2:17" ht="18" customHeight="1" thickBot="1">
      <c r="E2" s="23" t="s">
        <v>35</v>
      </c>
    </row>
    <row r="3" spans="2:17" ht="15" thickTop="1" thickBot="1">
      <c r="B3" s="15"/>
      <c r="E3" s="24" t="s">
        <v>36</v>
      </c>
      <c r="F3" t="str" cm="1">
        <f t="array" ref="F3">GETURL(E3)</f>
        <v>https://osu.ppy.sh/community/matches/113878936#</v>
      </c>
      <c r="G3" t="s">
        <v>68</v>
      </c>
      <c r="L3">
        <v>113878936</v>
      </c>
      <c r="M3" t="s">
        <v>70</v>
      </c>
      <c r="Q3" s="13"/>
    </row>
    <row r="4" spans="2:17" ht="14" customHeight="1" thickBot="1">
      <c r="B4" s="16"/>
      <c r="E4" s="24" t="s">
        <v>37</v>
      </c>
      <c r="F4" t="str" cm="1">
        <f t="array" ref="F4">GETURL(E4)</f>
        <v>https://osu.ppy.sh/community/matches/113913250#</v>
      </c>
      <c r="G4" t="s">
        <v>68</v>
      </c>
      <c r="L4">
        <v>113913250</v>
      </c>
      <c r="M4" t="s">
        <v>70</v>
      </c>
      <c r="Q4" s="13"/>
    </row>
    <row r="5" spans="2:17" ht="14.5" thickBot="1">
      <c r="B5" s="16"/>
      <c r="E5" s="24" t="s">
        <v>38</v>
      </c>
      <c r="F5" t="str" cm="1">
        <f t="array" ref="F5">GETURL(E5)</f>
        <v>https://osu.ppy.sh/community/matches/113913618#</v>
      </c>
      <c r="G5" t="s">
        <v>68</v>
      </c>
      <c r="L5">
        <v>113913618</v>
      </c>
      <c r="M5" t="s">
        <v>70</v>
      </c>
      <c r="Q5" s="13"/>
    </row>
    <row r="6" spans="2:17" ht="14.5" thickBot="1">
      <c r="B6" s="16"/>
      <c r="E6" s="24" t="s">
        <v>39</v>
      </c>
      <c r="F6" t="str" cm="1">
        <f t="array" ref="F6">GETURL(E6)</f>
        <v>https://osu.ppy.sh/community/matches/113923236#</v>
      </c>
      <c r="G6" t="s">
        <v>68</v>
      </c>
      <c r="L6">
        <v>113923236</v>
      </c>
      <c r="M6" t="s">
        <v>70</v>
      </c>
      <c r="Q6" s="13"/>
    </row>
    <row r="7" spans="2:17" ht="14" customHeight="1" thickBot="1">
      <c r="B7" s="16"/>
      <c r="E7" s="24" t="s">
        <v>40</v>
      </c>
      <c r="F7" t="str" cm="1">
        <f t="array" ref="F7">GETURL(E7)</f>
        <v>https://osu.ppy.sh/community/matches/113924249#</v>
      </c>
      <c r="G7" s="12" t="s">
        <v>68</v>
      </c>
      <c r="L7">
        <v>113924249</v>
      </c>
      <c r="M7" t="s">
        <v>70</v>
      </c>
      <c r="Q7" s="13"/>
    </row>
    <row r="8" spans="2:17" ht="14.5" thickBot="1">
      <c r="B8" s="16"/>
      <c r="E8" s="24" t="s">
        <v>41</v>
      </c>
      <c r="F8" t="str" cm="1">
        <f t="array" ref="F8">GETURL(E8)</f>
        <v>https://osu.ppy.sh/community/matches/113924923#</v>
      </c>
      <c r="G8" t="s">
        <v>68</v>
      </c>
      <c r="L8">
        <v>113924923</v>
      </c>
      <c r="M8" t="s">
        <v>70</v>
      </c>
      <c r="Q8" s="13"/>
    </row>
    <row r="9" spans="2:17" ht="14.5" thickBot="1">
      <c r="B9" s="16"/>
      <c r="E9" s="24" t="s">
        <v>42</v>
      </c>
      <c r="F9" t="str" cm="1">
        <f t="array" ref="F9">GETURL(E9)</f>
        <v>https://osu.ppy.sh/community/matches/113926261#</v>
      </c>
      <c r="G9" t="s">
        <v>68</v>
      </c>
      <c r="L9">
        <v>113926261</v>
      </c>
      <c r="M9" t="s">
        <v>70</v>
      </c>
      <c r="Q9" s="13"/>
    </row>
    <row r="10" spans="2:17" ht="18" customHeight="1" thickBot="1">
      <c r="B10" s="16"/>
      <c r="E10" s="24" t="s">
        <v>43</v>
      </c>
      <c r="F10" t="str" cm="1">
        <f t="array" ref="F10">GETURL(E10)</f>
        <v>https://osu.ppy.sh/community/matches/113926316#</v>
      </c>
      <c r="G10" t="s">
        <v>68</v>
      </c>
      <c r="L10">
        <v>113926316</v>
      </c>
      <c r="M10" t="s">
        <v>70</v>
      </c>
      <c r="Q10" s="13"/>
    </row>
    <row r="11" spans="2:17" ht="14" customHeight="1" thickBot="1">
      <c r="B11" s="16"/>
      <c r="E11" s="24" t="s">
        <v>44</v>
      </c>
      <c r="F11" t="str" cm="1">
        <f t="array" ref="F11">GETURL(E11)</f>
        <v>https://osu.ppy.sh/community/matches/113927008#</v>
      </c>
      <c r="G11" t="s">
        <v>68</v>
      </c>
      <c r="L11">
        <v>113927008</v>
      </c>
      <c r="M11" t="s">
        <v>70</v>
      </c>
      <c r="Q11" s="14"/>
    </row>
    <row r="12" spans="2:17" ht="14.5" thickBot="1">
      <c r="B12" s="17"/>
      <c r="E12" s="24" t="s">
        <v>45</v>
      </c>
      <c r="F12" t="str" cm="1">
        <f t="array" ref="F12">GETURL(E12)</f>
        <v>https://osu.ppy.sh/community/matches/113928822#</v>
      </c>
      <c r="G12" t="s">
        <v>68</v>
      </c>
      <c r="L12">
        <v>113928822</v>
      </c>
      <c r="M12" t="s">
        <v>70</v>
      </c>
      <c r="Q12" s="13"/>
    </row>
    <row r="13" spans="2:17" ht="14" customHeight="1" thickBot="1">
      <c r="E13" s="24" t="s">
        <v>46</v>
      </c>
      <c r="F13" t="str" cm="1">
        <f t="array" ref="F13">GETURL(E13)</f>
        <v>https://osu.ppy.sh/community/matches/113929301#</v>
      </c>
      <c r="G13" t="s">
        <v>68</v>
      </c>
      <c r="L13">
        <v>113929301</v>
      </c>
      <c r="M13" t="s">
        <v>70</v>
      </c>
      <c r="Q13" s="14"/>
    </row>
    <row r="14" spans="2:17" ht="14.5" thickBot="1">
      <c r="E14" s="24" t="s">
        <v>47</v>
      </c>
      <c r="F14" t="str" cm="1">
        <f t="array" ref="F14">GETURL(E14)</f>
        <v>https://osu.ppy.sh/community/matches/113929476#</v>
      </c>
      <c r="G14" t="s">
        <v>68</v>
      </c>
      <c r="L14">
        <v>113929476</v>
      </c>
      <c r="M14" t="s">
        <v>70</v>
      </c>
      <c r="Q14" s="13"/>
    </row>
    <row r="15" spans="2:17" ht="14.5" thickBot="1">
      <c r="E15" s="24" t="s">
        <v>48</v>
      </c>
      <c r="F15" t="str" cm="1">
        <f t="array" ref="F15">GETURL(E15)</f>
        <v>https://osu.ppy.sh/community/matches/113930294#</v>
      </c>
      <c r="G15" t="s">
        <v>68</v>
      </c>
      <c r="L15">
        <v>113930294</v>
      </c>
      <c r="M15" t="s">
        <v>70</v>
      </c>
      <c r="Q15" s="13"/>
    </row>
    <row r="16" spans="2:17" ht="14.5" thickBot="1">
      <c r="E16" s="24" t="s">
        <v>49</v>
      </c>
      <c r="F16" t="str" cm="1">
        <f t="array" ref="F16">GETURL(E16)</f>
        <v>https://osu.ppy.sh/community/matches/113930980#</v>
      </c>
      <c r="G16" t="s">
        <v>68</v>
      </c>
      <c r="L16">
        <v>113930980</v>
      </c>
      <c r="M16" t="s">
        <v>70</v>
      </c>
      <c r="Q16" s="13"/>
    </row>
    <row r="17" spans="1:17" ht="16" thickBot="1">
      <c r="E17" s="24" t="s">
        <v>50</v>
      </c>
      <c r="F17" t="str" cm="1">
        <f t="array" ref="F17">GETURL(E17)</f>
        <v>https://osu.ppy.sh/community/matches/113931245#</v>
      </c>
      <c r="G17" t="s">
        <v>68</v>
      </c>
      <c r="L17">
        <v>113931245</v>
      </c>
      <c r="M17" t="s">
        <v>70</v>
      </c>
      <c r="Q17" s="14"/>
    </row>
    <row r="18" spans="1:17" ht="14" customHeight="1" thickBot="1">
      <c r="E18" s="24" t="s">
        <v>51</v>
      </c>
      <c r="F18" t="str" cm="1">
        <f t="array" ref="F18">GETURL(E18)</f>
        <v>https://osu.ppy.sh/community/matches/113931691#</v>
      </c>
      <c r="G18" t="s">
        <v>68</v>
      </c>
      <c r="L18">
        <v>113931691</v>
      </c>
      <c r="M18" t="s">
        <v>70</v>
      </c>
      <c r="Q18" s="14"/>
    </row>
    <row r="19" spans="1:17" ht="16" thickBot="1">
      <c r="E19" s="24" t="s">
        <v>52</v>
      </c>
      <c r="F19" t="str" cm="1">
        <f t="array" ref="F19">GETURL(E19)</f>
        <v>https://osu.ppy.sh/mp/113931950#</v>
      </c>
      <c r="G19" s="12" t="s">
        <v>69</v>
      </c>
      <c r="L19">
        <v>113931950</v>
      </c>
      <c r="Q19" s="14"/>
    </row>
    <row r="20" spans="1:17" ht="16" thickBot="1">
      <c r="A20" s="45" t="s">
        <v>29</v>
      </c>
      <c r="B20" s="45"/>
      <c r="E20" s="24" t="s">
        <v>53</v>
      </c>
      <c r="F20" t="str" cm="1">
        <f t="array" ref="F20">GETURL(E20)</f>
        <v>https://osu.ppy.sh/community/matches/113933257#</v>
      </c>
      <c r="G20" t="s">
        <v>68</v>
      </c>
      <c r="L20">
        <v>113933257</v>
      </c>
      <c r="M20" t="s">
        <v>70</v>
      </c>
      <c r="Q20" s="14"/>
    </row>
    <row r="21" spans="1:17" ht="18" customHeight="1" thickBot="1">
      <c r="A21" s="11" t="s">
        <v>12</v>
      </c>
      <c r="B21">
        <v>4461899</v>
      </c>
      <c r="E21" s="24" t="s">
        <v>54</v>
      </c>
      <c r="F21" t="str" cm="1">
        <f t="array" ref="F21">GETURL(E21)</f>
        <v>https://osu.ppy.sh/community/matches/113933244#</v>
      </c>
      <c r="G21" t="s">
        <v>68</v>
      </c>
      <c r="L21">
        <v>113933244</v>
      </c>
      <c r="M21" t="s">
        <v>70</v>
      </c>
      <c r="Q21" s="13"/>
    </row>
    <row r="22" spans="1:17" ht="15.5" customHeight="1" thickBot="1">
      <c r="A22" s="11" t="s">
        <v>13</v>
      </c>
      <c r="B22">
        <v>4462358</v>
      </c>
      <c r="E22" s="24" t="s">
        <v>55</v>
      </c>
      <c r="F22" t="str" cm="1">
        <f t="array" ref="F22">GETURL(E22)</f>
        <v>https://osu.ppy.sh/community/matches/113936461#</v>
      </c>
      <c r="G22" t="s">
        <v>68</v>
      </c>
      <c r="L22">
        <v>113936461</v>
      </c>
      <c r="M22" t="s">
        <v>70</v>
      </c>
      <c r="Q22" s="14"/>
    </row>
    <row r="23" spans="1:17" ht="31" customHeight="1" thickBot="1">
      <c r="A23" s="11" t="s">
        <v>14</v>
      </c>
      <c r="B23">
        <v>4462321</v>
      </c>
      <c r="E23" s="24" t="s">
        <v>56</v>
      </c>
      <c r="F23" t="str" cm="1">
        <f t="array" ref="F23">GETURL(E23)</f>
        <v>https://osu.ppy.sh/community/matches/113942781#</v>
      </c>
      <c r="G23" t="s">
        <v>68</v>
      </c>
      <c r="L23">
        <v>113942781</v>
      </c>
      <c r="M23" t="s">
        <v>70</v>
      </c>
      <c r="Q23" s="14"/>
    </row>
    <row r="24" spans="1:17" ht="15.5" customHeight="1" thickBot="1">
      <c r="A24" s="11" t="s">
        <v>15</v>
      </c>
      <c r="B24">
        <v>4416050</v>
      </c>
      <c r="E24" s="24" t="s">
        <v>57</v>
      </c>
      <c r="F24" t="str" cm="1">
        <f t="array" ref="F24">GETURL(E24)</f>
        <v>https://osu.ppy.sh/community/matches/113943232#</v>
      </c>
      <c r="G24" t="s">
        <v>68</v>
      </c>
      <c r="L24">
        <v>113943232</v>
      </c>
      <c r="M24" t="s">
        <v>70</v>
      </c>
      <c r="Q24" s="14"/>
    </row>
    <row r="25" spans="1:17" ht="15.5" customHeight="1" thickBot="1">
      <c r="A25" s="11" t="s">
        <v>16</v>
      </c>
      <c r="B25">
        <v>4462360</v>
      </c>
      <c r="E25" s="24" t="s">
        <v>58</v>
      </c>
      <c r="F25" t="str" cm="1">
        <f t="array" ref="F25">GETURL(E25)</f>
        <v>https://osu.ppy.sh/community/matches/113944041#</v>
      </c>
      <c r="G25" t="s">
        <v>68</v>
      </c>
      <c r="L25">
        <v>113944041</v>
      </c>
      <c r="M25" t="s">
        <v>70</v>
      </c>
      <c r="Q25" s="14"/>
    </row>
    <row r="26" spans="1:17" ht="15.5" customHeight="1" thickBot="1">
      <c r="A26" s="11" t="s">
        <v>20</v>
      </c>
      <c r="B26">
        <v>1690565</v>
      </c>
      <c r="E26" s="24" t="s">
        <v>59</v>
      </c>
      <c r="F26" t="str" cm="1">
        <f t="array" ref="F26">GETURL(E26)</f>
        <v>https://osu.ppy.sh/mp/113944797#</v>
      </c>
      <c r="G26" s="12" t="s">
        <v>69</v>
      </c>
      <c r="L26">
        <v>113944797</v>
      </c>
      <c r="Q26" s="13"/>
    </row>
    <row r="27" spans="1:17" ht="15.5" customHeight="1" thickBot="1">
      <c r="A27" s="11" t="s">
        <v>21</v>
      </c>
      <c r="B27">
        <v>4461743</v>
      </c>
      <c r="E27" s="24" t="s">
        <v>60</v>
      </c>
      <c r="F27" t="str" cm="1">
        <f t="array" ref="F27">GETURL(E27)</f>
        <v>https://osu.ppy.sh/community/matches/113944992#</v>
      </c>
      <c r="G27" t="s">
        <v>68</v>
      </c>
      <c r="L27">
        <v>113944992</v>
      </c>
      <c r="M27" t="s">
        <v>70</v>
      </c>
      <c r="Q27" s="13"/>
    </row>
    <row r="28" spans="1:17" ht="15.5" customHeight="1">
      <c r="A28" s="11" t="s">
        <v>24</v>
      </c>
      <c r="B28">
        <v>2885985</v>
      </c>
      <c r="E28" s="24" t="s">
        <v>61</v>
      </c>
      <c r="F28" t="str" cm="1">
        <f t="array" ref="F28">GETURL(E28)</f>
        <v>https://osu.ppy.sh/community/matches/113945115#</v>
      </c>
      <c r="G28" t="s">
        <v>68</v>
      </c>
      <c r="L28">
        <v>113945115</v>
      </c>
      <c r="M28" t="s">
        <v>70</v>
      </c>
    </row>
    <row r="29" spans="1:17" ht="15.5" customHeight="1">
      <c r="A29" s="11" t="s">
        <v>25</v>
      </c>
      <c r="B29">
        <v>1940816</v>
      </c>
      <c r="E29" s="24" t="s">
        <v>62</v>
      </c>
      <c r="F29" t="str" cm="1">
        <f t="array" ref="F29">GETURL(E29)</f>
        <v>https://osu.ppy.sh/community/matches/113946816#</v>
      </c>
      <c r="G29" t="s">
        <v>68</v>
      </c>
      <c r="L29">
        <v>113946816</v>
      </c>
      <c r="M29" t="s">
        <v>70</v>
      </c>
    </row>
    <row r="30" spans="1:17" ht="15.5" customHeight="1">
      <c r="A30" s="11" t="s">
        <v>17</v>
      </c>
      <c r="B30">
        <v>4462361</v>
      </c>
      <c r="E30" s="24" t="s">
        <v>63</v>
      </c>
      <c r="F30" t="str" cm="1">
        <f t="array" ref="F30">GETURL(E30)</f>
        <v>https://osu.ppy.sh/mp/113947079#</v>
      </c>
      <c r="G30" s="12" t="s">
        <v>69</v>
      </c>
      <c r="L30">
        <v>113947079</v>
      </c>
    </row>
    <row r="31" spans="1:17" ht="15.5" customHeight="1">
      <c r="A31" s="11" t="s">
        <v>18</v>
      </c>
      <c r="B31">
        <v>4460030</v>
      </c>
      <c r="E31" s="24" t="s">
        <v>64</v>
      </c>
      <c r="F31" t="str" cm="1">
        <f t="array" ref="F31">GETURL(E31)</f>
        <v>https://osu.ppy.sh/community/matches/113948262#</v>
      </c>
      <c r="G31" t="s">
        <v>68</v>
      </c>
      <c r="L31">
        <v>113948262</v>
      </c>
      <c r="M31" t="s">
        <v>70</v>
      </c>
    </row>
    <row r="32" spans="1:17" ht="15.5" customHeight="1">
      <c r="A32" s="11" t="s">
        <v>19</v>
      </c>
      <c r="B32">
        <v>4462261</v>
      </c>
      <c r="E32" s="24" t="s">
        <v>65</v>
      </c>
      <c r="F32" t="str" cm="1">
        <f t="array" ref="F32">GETURL(E32)</f>
        <v>https://osu.ppy.sh/community/matches/113950712#</v>
      </c>
      <c r="G32" t="s">
        <v>68</v>
      </c>
      <c r="L32">
        <v>113950712</v>
      </c>
      <c r="M32" t="s">
        <v>70</v>
      </c>
    </row>
    <row r="33" spans="1:13" ht="15.5" customHeight="1">
      <c r="A33" s="10" t="s">
        <v>22</v>
      </c>
      <c r="B33">
        <v>4462331</v>
      </c>
      <c r="E33" s="24" t="s">
        <v>66</v>
      </c>
      <c r="F33" t="str" cm="1">
        <f t="array" ref="F33">GETURL(E33)</f>
        <v>https://osu.ppy.sh/community/matches/113955398#</v>
      </c>
      <c r="G33" t="s">
        <v>68</v>
      </c>
      <c r="L33">
        <v>113955398</v>
      </c>
      <c r="M33" t="s">
        <v>70</v>
      </c>
    </row>
    <row r="34" spans="1:13" ht="15.5" customHeight="1" thickBot="1">
      <c r="A34" s="11" t="s">
        <v>23</v>
      </c>
      <c r="B34">
        <v>1770185</v>
      </c>
      <c r="E34" s="25" t="s">
        <v>67</v>
      </c>
      <c r="F34" t="str" cm="1">
        <f t="array" ref="F34">GETURL(E34)</f>
        <v>https://osu.ppy.sh/community/matches/113960932#</v>
      </c>
      <c r="G34" t="s">
        <v>68</v>
      </c>
      <c r="L34">
        <v>113960932</v>
      </c>
      <c r="M34" t="s">
        <v>70</v>
      </c>
    </row>
    <row r="35" spans="1:13" ht="15.5" customHeight="1">
      <c r="A35" s="10" t="s">
        <v>26</v>
      </c>
      <c r="B35">
        <v>4462299</v>
      </c>
    </row>
    <row r="36" spans="1:13" ht="15.5" customHeight="1">
      <c r="A36" s="10" t="s">
        <v>27</v>
      </c>
      <c r="B36" s="9">
        <v>4461920</v>
      </c>
    </row>
    <row r="37" spans="1:13" ht="14" customHeight="1">
      <c r="A37" s="9" t="s">
        <v>28</v>
      </c>
      <c r="B37" s="9">
        <v>4462335</v>
      </c>
    </row>
    <row r="40" spans="1:13" ht="18" customHeight="1"/>
    <row r="41" spans="1:13" ht="14" customHeight="1"/>
    <row r="42" spans="1:13" ht="14" customHeight="1"/>
    <row r="43" spans="1:13" ht="14" customHeight="1"/>
    <row r="44" spans="1:13" ht="14" customHeight="1"/>
    <row r="45" spans="1:13" ht="14" customHeight="1"/>
    <row r="46" spans="1:13" ht="14" customHeight="1"/>
    <row r="47" spans="1:13" ht="14" customHeight="1"/>
    <row r="49" ht="14" customHeight="1"/>
    <row r="54" ht="14" customHeight="1"/>
    <row r="59" ht="14" customHeight="1"/>
    <row r="64" ht="14" customHeight="1"/>
    <row r="69" ht="14" customHeight="1"/>
    <row r="70" ht="14" customHeight="1"/>
    <row r="71" ht="14" customHeight="1"/>
    <row r="72" ht="14" customHeight="1"/>
    <row r="75" ht="18" customHeight="1"/>
    <row r="76" ht="14" customHeight="1"/>
    <row r="77" ht="14" customHeight="1"/>
    <row r="78" ht="14" customHeight="1"/>
    <row r="79" ht="14" customHeight="1"/>
    <row r="80" ht="14" customHeight="1"/>
    <row r="81" ht="14" customHeight="1"/>
    <row r="82" ht="14" customHeight="1"/>
    <row r="84" ht="14" customHeight="1"/>
    <row r="85" ht="14" customHeight="1"/>
    <row r="86" ht="14" customHeight="1"/>
    <row r="87" ht="14" customHeight="1"/>
    <row r="88" ht="14" customHeight="1"/>
    <row r="89" ht="14" customHeight="1"/>
    <row r="90" ht="14" customHeight="1"/>
    <row r="91" ht="14" customHeight="1"/>
    <row r="94" ht="18" customHeight="1"/>
    <row r="95" ht="14" customHeight="1"/>
    <row r="96" ht="14" customHeight="1"/>
    <row r="97" ht="14" customHeight="1"/>
    <row r="98" ht="14" customHeight="1"/>
    <row r="99" ht="14" customHeight="1"/>
    <row r="100" ht="14" customHeight="1"/>
    <row r="101" ht="14" customHeight="1"/>
    <row r="102" ht="14" customHeight="1"/>
    <row r="103" ht="14" customHeight="1"/>
    <row r="104" ht="14" customHeight="1"/>
    <row r="105" ht="14" customHeight="1"/>
    <row r="106" ht="14" customHeight="1"/>
    <row r="107" ht="14" customHeight="1"/>
    <row r="108" ht="14" customHeight="1"/>
    <row r="109" ht="14" customHeight="1"/>
    <row r="110" ht="14" customHeight="1"/>
  </sheetData>
  <mergeCells count="1">
    <mergeCell ref="A20:B20"/>
  </mergeCells>
  <phoneticPr fontId="1" type="noConversion"/>
  <hyperlinks>
    <hyperlink ref="E3" r:id="rId1" display="https://osu.ppy.sh/community/matches/113878936" xr:uid="{F2FCD695-1443-47BA-87E1-2D4F2BC486E9}"/>
    <hyperlink ref="E4" r:id="rId2" display="https://osu.ppy.sh/community/matches/113913250" xr:uid="{B110E03C-C295-462F-A262-AE4C80257903}"/>
    <hyperlink ref="E5" r:id="rId3" display="https://osu.ppy.sh/community/matches/113913618" xr:uid="{6C39DB12-4346-4437-8242-7BA365E61F5D}"/>
    <hyperlink ref="E6" r:id="rId4" display="https://osu.ppy.sh/community/matches/113923236" xr:uid="{6177547B-3C73-41B2-BCCB-F098C48B8F55}"/>
    <hyperlink ref="E7" r:id="rId5" display="https://osu.ppy.sh/community/matches/113924249" xr:uid="{34FE31F4-39B8-4562-9E8A-767636063677}"/>
    <hyperlink ref="E8" r:id="rId6" display="https://osu.ppy.sh/community/matches/113924923" xr:uid="{9ED1286C-791A-4568-9763-B314042D462F}"/>
    <hyperlink ref="E9" r:id="rId7" display="https://osu.ppy.sh/community/matches/113926261" xr:uid="{B4A444E7-4B48-4BBB-B004-8A63AF95D708}"/>
    <hyperlink ref="E10" r:id="rId8" display="https://osu.ppy.sh/community/matches/113926316" xr:uid="{A89B4E4E-40AF-4EE3-9461-357FDF9DF603}"/>
    <hyperlink ref="E11" r:id="rId9" display="https://osu.ppy.sh/community/matches/113927008" xr:uid="{71604B23-6592-499C-90BC-9D7D6B87BDCA}"/>
    <hyperlink ref="E12" r:id="rId10" display="https://osu.ppy.sh/community/matches/113928822" xr:uid="{FB627971-4888-4EAC-87AF-C3A7146E7B5F}"/>
    <hyperlink ref="E13" r:id="rId11" display="https://osu.ppy.sh/community/matches/113929301" xr:uid="{4A5CCB2E-F5C4-4F13-8500-91FA7C61452C}"/>
    <hyperlink ref="E14" r:id="rId12" display="https://osu.ppy.sh/community/matches/113929476" xr:uid="{DA33F0E4-6ED6-49AA-8EE5-6E5DC4356D79}"/>
    <hyperlink ref="E15" r:id="rId13" display="https://osu.ppy.sh/community/matches/113930294" xr:uid="{548CEC4E-BA42-4510-9607-EA92AB1B1D32}"/>
    <hyperlink ref="E16" r:id="rId14" display="https://osu.ppy.sh/community/matches/113930980" xr:uid="{F4F35307-AD89-45D2-BECA-DAC5F14FC959}"/>
    <hyperlink ref="E17" r:id="rId15" display="https://osu.ppy.sh/community/matches/113931245" xr:uid="{D00AD03C-FE2B-4F58-BCEA-8DD45C9E3AA3}"/>
    <hyperlink ref="E18" r:id="rId16" display="https://osu.ppy.sh/community/matches/113931691" xr:uid="{82A20EFB-C5DD-4A10-9E35-D6B3C8BDE01C}"/>
    <hyperlink ref="E19" r:id="rId17" display="https://osu.ppy.sh/mp/113931950" xr:uid="{1CD78BD6-5F4D-4BD9-9A83-02FFFC4EBA05}"/>
    <hyperlink ref="E20" r:id="rId18" display="https://osu.ppy.sh/community/matches/113933257" xr:uid="{ACD1689C-8C5C-4DC3-875D-5073C938860E}"/>
    <hyperlink ref="E21" r:id="rId19" display="https://osu.ppy.sh/community/matches/113933244" xr:uid="{B130CD49-E7F1-43D4-8B88-571CDE9C725D}"/>
    <hyperlink ref="E22" r:id="rId20" display="https://osu.ppy.sh/community/matches/113936461" xr:uid="{95449BAD-E883-461F-9F8D-4EFD1115D309}"/>
    <hyperlink ref="E23" r:id="rId21" display="https://osu.ppy.sh/community/matches/113942781" xr:uid="{43E1A5D4-B7BC-43A4-8B02-1E82A3A214D1}"/>
    <hyperlink ref="E24" r:id="rId22" display="https://osu.ppy.sh/community/matches/113943232" xr:uid="{8CE0A145-FF32-4DBD-B9AE-B47B772FF113}"/>
    <hyperlink ref="E25" r:id="rId23" display="https://osu.ppy.sh/community/matches/113944041" xr:uid="{A4724B44-0E20-482F-B385-94177D652B4D}"/>
    <hyperlink ref="E26" r:id="rId24" display="https://osu.ppy.sh/mp/113944797" xr:uid="{E190211B-896D-451F-A94F-1EC4D4F46519}"/>
    <hyperlink ref="E27" r:id="rId25" display="https://osu.ppy.sh/community/matches/113944992" xr:uid="{B92D0324-642F-4C34-932C-A1F5DA4DB82F}"/>
    <hyperlink ref="E28" r:id="rId26" display="https://osu.ppy.sh/community/matches/113945115" xr:uid="{383A52E2-7128-4DDF-9B81-F6D3D24FE18D}"/>
    <hyperlink ref="E29" r:id="rId27" display="https://osu.ppy.sh/community/matches/113946816" xr:uid="{C67A58F9-7DE8-4A4A-9FE3-3EF7CD96D59C}"/>
    <hyperlink ref="E30" r:id="rId28" display="https://osu.ppy.sh/mp/113947079" xr:uid="{D60E109A-8518-416C-9319-7EDEFD2C1D0B}"/>
    <hyperlink ref="E31" r:id="rId29" display="https://osu.ppy.sh/community/matches/113948262" xr:uid="{DF51AD9C-B231-455B-A19D-0D4473E09C78}"/>
    <hyperlink ref="E32" r:id="rId30" display="https://osu.ppy.sh/community/matches/113950712" xr:uid="{D39E220E-EEDE-4825-B21F-40BCF4CA0F7D}"/>
    <hyperlink ref="E33" r:id="rId31" display="https://osu.ppy.sh/community/matches/113955398" xr:uid="{83046475-BDB9-4ED2-A665-195D493F3DBA}"/>
    <hyperlink ref="E34" r:id="rId32" display="https://osu.ppy.sh/community/matches/113960932" xr:uid="{D2A28985-AD4C-4ECF-A863-71F1C804433F}"/>
    <hyperlink ref="G19" r:id="rId33" xr:uid="{E54A4B76-A6BA-4D7D-B293-E6E4DC2DDD72}"/>
    <hyperlink ref="G26" r:id="rId34" xr:uid="{F478A19E-F2B8-4516-902C-5553F1FF69F6}"/>
    <hyperlink ref="G30" r:id="rId35" xr:uid="{B3C8F140-9020-4069-A76B-3970B4810C19}"/>
  </hyperlinks>
  <pageMargins left="0.7" right="0.7" top="0.75" bottom="0.75" header="0.3" footer="0.3"/>
  <pageSetup paperSize="9" orientation="portrait" horizontalDpi="0" verticalDpi="0" r:id="rId3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Options</vt:lpstr>
      <vt:lpstr>Foumla_Excat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Rush_FTK</dc:creator>
  <cp:lastModifiedBy>Jiang Yunpeng</cp:lastModifiedBy>
  <dcterms:created xsi:type="dcterms:W3CDTF">2015-06-05T18:19:34Z</dcterms:created>
  <dcterms:modified xsi:type="dcterms:W3CDTF">2024-06-13T12:38:20Z</dcterms:modified>
</cp:coreProperties>
</file>