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Data\PythonProject\LiquipediaOsuContributeHelper\sheets\"/>
    </mc:Choice>
  </mc:AlternateContent>
  <xr:revisionPtr revIDLastSave="0" documentId="13_ncr:1_{887572A2-C4F1-4002-A9E1-B0673B2157F8}" xr6:coauthVersionLast="47" xr6:coauthVersionMax="47" xr10:uidLastSave="{00000000-0000-0000-0000-000000000000}"/>
  <bookViews>
    <workbookView xWindow="910" yWindow="2590" windowWidth="18980" windowHeight="9840" xr2:uid="{00000000-000D-0000-FFFF-FFFF00000000}"/>
  </bookViews>
  <sheets>
    <sheet name="Data" sheetId="1" r:id="rId1"/>
    <sheet name="Options" sheetId="4" r:id="rId2"/>
    <sheet name="Foumla_Exca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 a="1"/>
  <c r="B3" i="3" a="1"/>
  <c r="B6" i="3" a="1"/>
  <c r="B5" i="3" a="1"/>
  <c r="B7" i="3" a="1"/>
  <c r="B8" i="3" a="1"/>
  <c r="B9" i="3" a="1"/>
  <c r="B11" i="3" a="1"/>
  <c r="B12" i="3" a="1"/>
  <c r="B4" i="3" a="1"/>
  <c r="B17" i="3" a="1"/>
  <c r="B10" i="3" a="1"/>
  <c r="B13" i="3" a="1"/>
  <c r="B14" i="3" a="1"/>
  <c r="B15" i="3" a="1"/>
  <c r="B16" i="3" a="1"/>
  <c r="B16" i="3" l="1"/>
  <c r="B15" i="3"/>
  <c r="B14" i="3"/>
  <c r="B13" i="3"/>
  <c r="B10" i="3"/>
  <c r="B17" i="3"/>
  <c r="B4" i="3"/>
  <c r="B12" i="3"/>
  <c r="B11" i="3"/>
  <c r="B9" i="3"/>
  <c r="B8" i="3"/>
  <c r="B7" i="3"/>
  <c r="B5" i="3"/>
  <c r="B6" i="3"/>
  <c r="B3" i="3"/>
  <c r="B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<sst xmlns="http://schemas.openxmlformats.org/spreadsheetml/2006/main" count="74" uniqueCount="33">
  <si>
    <t>BID</t>
    <phoneticPr fontId="1" type="noConversion"/>
  </si>
  <si>
    <t>ID</t>
    <phoneticPr fontId="1" type="noConversion"/>
  </si>
  <si>
    <t>Mappools Settings</t>
    <phoneticPr fontId="1" type="noConversion"/>
  </si>
  <si>
    <t>mp link</t>
    <phoneticPr fontId="1" type="noConversion"/>
  </si>
  <si>
    <t>Mods</t>
    <phoneticPr fontId="1" type="noConversion"/>
  </si>
  <si>
    <t>Multiplier</t>
    <phoneticPr fontId="1" type="noConversion"/>
  </si>
  <si>
    <r>
      <t xml:space="preserve">Player UID (Optional)
</t>
    </r>
    <r>
      <rPr>
        <b/>
        <i/>
        <sz val="11"/>
        <color theme="1"/>
        <rFont val="等线"/>
        <family val="3"/>
        <charset val="134"/>
        <scheme val="minor"/>
      </rPr>
      <t>Use to exclude incorrect player</t>
    </r>
    <phoneticPr fontId="1" type="noConversion"/>
  </si>
  <si>
    <t>Mods Multiplier</t>
    <phoneticPr fontId="1" type="noConversion"/>
  </si>
  <si>
    <t>MATCH LINK</t>
  </si>
  <si>
    <t>#1</t>
  </si>
  <si>
    <t>#2</t>
  </si>
  <si>
    <t>#6</t>
  </si>
  <si>
    <t>#5</t>
  </si>
  <si>
    <t>#4</t>
  </si>
  <si>
    <t>Settings</t>
    <phoneticPr fontId="1" type="noConversion"/>
  </si>
  <si>
    <t>Means all matches in mplink are played 
in old style (Team1 = Blue, Team2 = Red)</t>
    <phoneticPr fontId="1" type="noConversion"/>
  </si>
  <si>
    <t>Swap Teams?</t>
    <phoneticPr fontId="1" type="noConversion"/>
  </si>
  <si>
    <t>Bool Values</t>
    <phoneticPr fontId="1" type="noConversion"/>
  </si>
  <si>
    <t>RC2</t>
  </si>
  <si>
    <t>RC3</t>
  </si>
  <si>
    <t>RC4</t>
  </si>
  <si>
    <t>HB2</t>
  </si>
  <si>
    <t>LN2</t>
  </si>
  <si>
    <t>LN3</t>
  </si>
  <si>
    <t>RC1</t>
  </si>
  <si>
    <t>HB1</t>
  </si>
  <si>
    <t>LN1</t>
  </si>
  <si>
    <t>BEATMAP ID</t>
  </si>
  <si>
    <t>https://osu.ppy.sh/community/matches/</t>
  </si>
  <si>
    <t>#</t>
  </si>
  <si>
    <t>https://osu.ppy.sh/mp/#</t>
    <phoneticPr fontId="1" type="noConversion"/>
  </si>
  <si>
    <t>https://osu.ppy.sh/community/matches/#</t>
    <phoneticPr fontId="1" type="noConversion"/>
  </si>
  <si>
    <t>TB1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</si>
</sst>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rgb="FF000000"/>
      <name val="等线"/>
      <family val="2"/>
      <scheme val="minor"/>
    </font>
    <font>
      <b/>
      <sz val="10"/>
      <color rgb="FFFFFFFF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11"/>
      <name val="Toru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46001"/>
        <bgColor indexed="64"/>
      </patternFill>
    </fill>
    <fill>
      <patternFill patternType="solid">
        <fgColor rgb="FFB86014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rgb="FF5C300A"/>
      </left>
      <right style="medium">
        <color rgb="FFB86014"/>
      </right>
      <top style="medium">
        <color rgb="FF5C300A"/>
      </top>
      <bottom style="medium">
        <color rgb="FF5C300A"/>
      </bottom>
      <diagonal/>
    </border>
    <border>
      <left style="medium">
        <color rgb="FF5C300A"/>
      </left>
      <right style="medium">
        <color rgb="FFB86014"/>
      </right>
      <top style="medium">
        <color rgb="FF5C300A"/>
      </top>
      <bottom/>
      <diagonal/>
    </border>
    <border>
      <left/>
      <right style="medium">
        <color rgb="FFB86014"/>
      </right>
      <top style="medium">
        <color rgb="FF5C300A"/>
      </top>
      <bottom/>
      <diagonal/>
    </border>
    <border>
      <left/>
      <right style="medium">
        <color rgb="FFB86014"/>
      </right>
      <top style="medium">
        <color rgb="FF5C300A"/>
      </top>
      <bottom style="medium">
        <color rgb="FF5C300A"/>
      </bottom>
      <diagonal/>
    </border>
  </borders>
  <cellStyleXfs count="5">
    <xf numFmtId="0" fontId="0" fillId="0" borderId="0"/>
    <xf numFmtId="0" fontId="6" fillId="0" borderId="0">
      <alignment vertical="center"/>
    </xf>
    <xf numFmtId="0" fontId="8" fillId="0" borderId="0"/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0" fillId="5" borderId="1" xfId="4" applyFill="1" applyBorder="1" applyAlignment="1">
      <alignment horizontal="center" vertical="center"/>
    </xf>
    <xf numFmtId="0" fontId="10" fillId="5" borderId="2" xfId="4" applyFill="1" applyBorder="1" applyAlignment="1">
      <alignment horizontal="center" vertical="center"/>
    </xf>
    <xf numFmtId="0" fontId="10" fillId="0" borderId="0" xfId="4"/>
    <xf numFmtId="0" fontId="9" fillId="4" borderId="2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10" fillId="5" borderId="3" xfId="4" applyFill="1" applyBorder="1" applyAlignment="1">
      <alignment horizontal="center" vertical="center"/>
    </xf>
    <xf numFmtId="0" fontId="10" fillId="5" borderId="4" xfId="4" applyFill="1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/>
    </xf>
    <xf numFmtId="0" fontId="12" fillId="6" borderId="0" xfId="0" applyFont="1" applyFill="1" applyAlignment="1">
      <alignment horizontal="left" wrapText="1"/>
    </xf>
    <xf numFmtId="0" fontId="3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</cellXfs>
  <cellStyles count="5">
    <cellStyle name="常规" xfId="0" builtinId="0"/>
    <cellStyle name="常规 2" xfId="2" xr:uid="{7E0D03F8-8550-474D-A3A7-3F47D175B4FE}"/>
    <cellStyle name="常规 3" xfId="1" xr:uid="{8210E84D-A243-4508-A258-2B507FDCAAA6}"/>
    <cellStyle name="超链接" xfId="4" builtinId="8"/>
    <cellStyle name="超链接 2" xfId="3" xr:uid="{45425DC9-A299-4809-AED5-D482CC038F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osu.ppy.sh/community/matches/111750301" TargetMode="External"/><Relationship Id="rId3" Type="http://schemas.openxmlformats.org/officeDocument/2006/relationships/hyperlink" Target="https://osu.ppy.sh/community/matches/" TargetMode="External"/><Relationship Id="rId7" Type="http://schemas.openxmlformats.org/officeDocument/2006/relationships/hyperlink" Target="https://osu.ppy.sh/community/matches/111749143" TargetMode="External"/><Relationship Id="rId12" Type="http://schemas.openxmlformats.org/officeDocument/2006/relationships/hyperlink" Target="https://osu.ppy.sh/mp/" TargetMode="External"/><Relationship Id="rId2" Type="http://schemas.openxmlformats.org/officeDocument/2006/relationships/hyperlink" Target="https://osu.ppy.sh/community/matches/" TargetMode="External"/><Relationship Id="rId1" Type="http://schemas.openxmlformats.org/officeDocument/2006/relationships/hyperlink" Target="https://osu.ppy.sh/mp/" TargetMode="External"/><Relationship Id="rId6" Type="http://schemas.openxmlformats.org/officeDocument/2006/relationships/hyperlink" Target="https://osu.ppy.sh/community/matches/" TargetMode="External"/><Relationship Id="rId11" Type="http://schemas.openxmlformats.org/officeDocument/2006/relationships/hyperlink" Target="https://osu.ppy.sh/community/matches/111768838" TargetMode="External"/><Relationship Id="rId5" Type="http://schemas.openxmlformats.org/officeDocument/2006/relationships/hyperlink" Target="https://osu.ppy.sh/mp/" TargetMode="External"/><Relationship Id="rId10" Type="http://schemas.openxmlformats.org/officeDocument/2006/relationships/hyperlink" Target="https://osu.ppy.sh/community/matches/111768838" TargetMode="External"/><Relationship Id="rId4" Type="http://schemas.openxmlformats.org/officeDocument/2006/relationships/hyperlink" Target="https://osu.ppy.sh/community/matches/" TargetMode="External"/><Relationship Id="rId9" Type="http://schemas.openxmlformats.org/officeDocument/2006/relationships/hyperlink" Target="https://osu.ppy.sh/mp/11175003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22"/>
  <sheetViews>
    <sheetView tabSelected="1" zoomScaleNormal="100" workbookViewId="0">
      <selection activeCell="M12" sqref="M12"/>
    </sheetView>
  </sheetViews>
  <sheetFormatPr defaultRowHeight="14" x14ac:dyDescent="0.3"/>
  <cols>
    <col min="1" max="1" width="2.58203125" style="3" customWidth="1"/>
    <col min="3" max="3" width="9.5" bestFit="1" customWidth="1"/>
    <col min="4" max="4" width="2.58203125" style="3" customWidth="1"/>
    <col min="7" max="7" width="2.58203125" style="3" customWidth="1"/>
    <col min="8" max="8" width="28.83203125" customWidth="1"/>
    <col min="9" max="9" width="2.58203125" style="3" customWidth="1"/>
    <col min="10" max="10" width="20.58203125" style="1" customWidth="1"/>
    <col min="11" max="11" width="2.58203125" style="3" customWidth="1"/>
    <col min="12" max="12" width="3" customWidth="1"/>
    <col min="13" max="13" width="23.58203125" customWidth="1"/>
    <col min="14" max="14" width="2.08203125" customWidth="1"/>
    <col min="15" max="15" width="7.25" customWidth="1"/>
    <col min="16" max="16" width="3.1640625" customWidth="1"/>
    <col min="17" max="17" width="2.83203125" style="3" customWidth="1"/>
  </cols>
  <sheetData>
    <row r="1" spans="1:16" s="3" customFormat="1" x14ac:dyDescent="0.3">
      <c r="A1" s="2"/>
      <c r="B1" s="2"/>
      <c r="C1" s="2"/>
      <c r="E1" s="2"/>
      <c r="F1" s="2"/>
      <c r="J1" s="5"/>
    </row>
    <row r="2" spans="1:16" x14ac:dyDescent="0.3">
      <c r="B2" s="22" t="s">
        <v>2</v>
      </c>
      <c r="C2" s="22"/>
      <c r="E2" s="22" t="s">
        <v>7</v>
      </c>
      <c r="F2" s="22"/>
      <c r="H2" s="23" t="s">
        <v>6</v>
      </c>
      <c r="J2" s="24" t="s">
        <v>3</v>
      </c>
      <c r="L2" s="24" t="s">
        <v>14</v>
      </c>
      <c r="M2" s="24"/>
      <c r="N2" s="24"/>
      <c r="O2" s="24"/>
      <c r="P2" s="24"/>
    </row>
    <row r="3" spans="1:16" x14ac:dyDescent="0.3">
      <c r="B3" s="4" t="s">
        <v>1</v>
      </c>
      <c r="C3" s="4" t="s">
        <v>0</v>
      </c>
      <c r="E3" s="4" t="s">
        <v>4</v>
      </c>
      <c r="F3" s="4" t="s">
        <v>5</v>
      </c>
      <c r="H3" s="24"/>
      <c r="J3" s="24"/>
      <c r="L3" s="24"/>
      <c r="M3" s="24"/>
      <c r="N3" s="24"/>
      <c r="O3" s="24"/>
      <c r="P3" s="24"/>
    </row>
    <row r="4" spans="1:16" x14ac:dyDescent="0.3">
      <c r="B4" s="25" t="s">
        <v>24</v>
      </c>
      <c r="C4" s="25">
        <v>4436303</v>
      </c>
      <c r="E4" s="6"/>
      <c r="F4" s="6"/>
      <c r="H4" s="6"/>
      <c r="J4" s="6">
        <v>112077820</v>
      </c>
      <c r="L4" s="19" t="s">
        <v>16</v>
      </c>
      <c r="M4" s="19"/>
      <c r="N4" s="19"/>
      <c r="O4" s="20" t="b">
        <v>0</v>
      </c>
      <c r="P4" s="20"/>
    </row>
    <row r="5" spans="1:16" ht="14" customHeight="1" x14ac:dyDescent="0.3">
      <c r="B5" s="25" t="s">
        <v>18</v>
      </c>
      <c r="C5" s="25">
        <v>4436318</v>
      </c>
      <c r="E5" s="6"/>
      <c r="F5" s="6"/>
      <c r="J5" s="6">
        <v>112077824</v>
      </c>
      <c r="L5" s="21" t="s">
        <v>15</v>
      </c>
      <c r="M5" s="21"/>
      <c r="N5" s="21"/>
      <c r="O5" s="21"/>
      <c r="P5" s="21"/>
    </row>
    <row r="6" spans="1:16" x14ac:dyDescent="0.3">
      <c r="B6" s="25" t="s">
        <v>19</v>
      </c>
      <c r="C6" s="25">
        <v>4436323</v>
      </c>
      <c r="J6" s="6">
        <v>112077892</v>
      </c>
      <c r="L6" s="21"/>
      <c r="M6" s="21"/>
      <c r="N6" s="21"/>
      <c r="O6" s="21"/>
      <c r="P6" s="21"/>
    </row>
    <row r="7" spans="1:16" x14ac:dyDescent="0.3">
      <c r="B7" s="25" t="s">
        <v>20</v>
      </c>
      <c r="C7" s="25">
        <v>4304100</v>
      </c>
      <c r="J7" s="6">
        <v>112078509</v>
      </c>
    </row>
    <row r="8" spans="1:16" x14ac:dyDescent="0.3">
      <c r="B8" s="25" t="s">
        <v>26</v>
      </c>
      <c r="C8" s="25">
        <v>4436321</v>
      </c>
      <c r="J8" s="6">
        <v>112078554</v>
      </c>
    </row>
    <row r="9" spans="1:16" x14ac:dyDescent="0.3">
      <c r="B9" s="25" t="s">
        <v>22</v>
      </c>
      <c r="C9" s="25">
        <v>4436302</v>
      </c>
      <c r="J9" s="6">
        <v>112078519</v>
      </c>
    </row>
    <row r="10" spans="1:16" x14ac:dyDescent="0.3">
      <c r="B10" s="25" t="s">
        <v>23</v>
      </c>
      <c r="C10" s="25">
        <v>4436304</v>
      </c>
      <c r="J10" s="6">
        <v>112078483</v>
      </c>
    </row>
    <row r="11" spans="1:16" x14ac:dyDescent="0.3">
      <c r="B11" s="25" t="s">
        <v>25</v>
      </c>
      <c r="C11" s="25">
        <v>2245487</v>
      </c>
      <c r="J11" s="6"/>
    </row>
    <row r="12" spans="1:16" x14ac:dyDescent="0.3">
      <c r="B12" s="25" t="s">
        <v>21</v>
      </c>
      <c r="C12" s="25">
        <v>3613253</v>
      </c>
      <c r="J12" s="9"/>
    </row>
    <row r="13" spans="1:16" x14ac:dyDescent="0.3">
      <c r="B13" s="25" t="s">
        <v>32</v>
      </c>
      <c r="C13" s="26">
        <v>4436311</v>
      </c>
      <c r="J13" s="9"/>
    </row>
    <row r="14" spans="1:16" x14ac:dyDescent="0.3">
      <c r="B14" s="11"/>
      <c r="C14" s="11"/>
      <c r="J14" s="9"/>
    </row>
    <row r="15" spans="1:16" x14ac:dyDescent="0.3">
      <c r="B15" s="11"/>
      <c r="C15" s="11"/>
      <c r="J15" s="9"/>
    </row>
    <row r="16" spans="1:16" x14ac:dyDescent="0.3">
      <c r="B16" s="11"/>
      <c r="C16" s="11"/>
      <c r="J16" s="9"/>
    </row>
    <row r="17" spans="2:10" x14ac:dyDescent="0.3">
      <c r="B17" s="11"/>
      <c r="C17" s="11"/>
      <c r="J17" s="9"/>
    </row>
    <row r="18" spans="2:10" x14ac:dyDescent="0.3">
      <c r="B18" s="11"/>
      <c r="C18" s="11"/>
      <c r="E18" s="6"/>
      <c r="F18" s="6"/>
      <c r="J18" s="9"/>
    </row>
    <row r="19" spans="2:10" x14ac:dyDescent="0.3">
      <c r="B19" s="11"/>
      <c r="C19" s="10"/>
    </row>
    <row r="20" spans="2:10" x14ac:dyDescent="0.3">
      <c r="B20" s="10"/>
      <c r="C20" s="10"/>
      <c r="J20" s="6"/>
    </row>
    <row r="21" spans="2:10" x14ac:dyDescent="0.3">
      <c r="B21" s="6"/>
      <c r="J21" s="6"/>
    </row>
    <row r="22" spans="2:10" x14ac:dyDescent="0.3">
      <c r="B22" s="6"/>
      <c r="C22" s="6"/>
      <c r="H22" s="6"/>
      <c r="J22" s="6"/>
    </row>
    <row r="23" spans="2:10" x14ac:dyDescent="0.3">
      <c r="B23" s="6"/>
      <c r="C23" s="6"/>
      <c r="H23" s="6"/>
      <c r="J23" s="6"/>
    </row>
    <row r="24" spans="2:10" x14ac:dyDescent="0.3">
      <c r="H24" s="6"/>
      <c r="J24" s="6"/>
    </row>
    <row r="25" spans="2:10" x14ac:dyDescent="0.3">
      <c r="H25" s="6"/>
      <c r="J25" s="6"/>
    </row>
    <row r="26" spans="2:10" x14ac:dyDescent="0.3">
      <c r="H26" s="6"/>
      <c r="J26" s="6"/>
    </row>
    <row r="27" spans="2:10" x14ac:dyDescent="0.3">
      <c r="H27" s="6"/>
      <c r="J27" s="6"/>
    </row>
    <row r="28" spans="2:10" x14ac:dyDescent="0.3">
      <c r="H28" s="6"/>
      <c r="J28" s="6"/>
    </row>
    <row r="29" spans="2:10" x14ac:dyDescent="0.3">
      <c r="H29" s="6"/>
      <c r="J29" s="8"/>
    </row>
    <row r="30" spans="2:10" x14ac:dyDescent="0.3">
      <c r="H30" s="6"/>
      <c r="J30" s="8"/>
    </row>
    <row r="31" spans="2:10" x14ac:dyDescent="0.3">
      <c r="H31" s="6"/>
      <c r="J31" s="8"/>
    </row>
    <row r="32" spans="2:10" x14ac:dyDescent="0.3">
      <c r="H32" s="6"/>
      <c r="J32" s="8"/>
    </row>
    <row r="33" spans="8:10" x14ac:dyDescent="0.3">
      <c r="H33" s="6"/>
      <c r="J33" s="8"/>
    </row>
    <row r="34" spans="8:10" x14ac:dyDescent="0.3">
      <c r="H34" s="6"/>
      <c r="J34" s="8"/>
    </row>
    <row r="35" spans="8:10" x14ac:dyDescent="0.3">
      <c r="H35" s="6"/>
      <c r="J35" s="8"/>
    </row>
    <row r="36" spans="8:10" x14ac:dyDescent="0.3">
      <c r="H36" s="6"/>
      <c r="J36" s="8"/>
    </row>
    <row r="37" spans="8:10" x14ac:dyDescent="0.3">
      <c r="H37" s="6"/>
      <c r="J37" s="8"/>
    </row>
    <row r="38" spans="8:10" x14ac:dyDescent="0.3">
      <c r="H38" s="6"/>
      <c r="J38" s="8"/>
    </row>
    <row r="39" spans="8:10" x14ac:dyDescent="0.3">
      <c r="H39" s="6"/>
      <c r="J39" s="8"/>
    </row>
    <row r="40" spans="8:10" x14ac:dyDescent="0.3">
      <c r="H40" s="6"/>
      <c r="J40" s="8"/>
    </row>
    <row r="41" spans="8:10" x14ac:dyDescent="0.3">
      <c r="H41" s="6"/>
    </row>
    <row r="42" spans="8:10" x14ac:dyDescent="0.3">
      <c r="H42" s="6"/>
    </row>
    <row r="43" spans="8:10" x14ac:dyDescent="0.3">
      <c r="H43" s="6"/>
    </row>
    <row r="44" spans="8:10" x14ac:dyDescent="0.3">
      <c r="H44" s="6"/>
    </row>
    <row r="45" spans="8:10" x14ac:dyDescent="0.3">
      <c r="H45" s="6"/>
    </row>
    <row r="46" spans="8:10" x14ac:dyDescent="0.3">
      <c r="H46" s="6"/>
    </row>
    <row r="47" spans="8:10" x14ac:dyDescent="0.3">
      <c r="H47" s="6"/>
      <c r="J47" s="7"/>
    </row>
    <row r="48" spans="8:10" x14ac:dyDescent="0.3">
      <c r="H48" s="6"/>
    </row>
    <row r="49" spans="8:8" x14ac:dyDescent="0.3">
      <c r="H49" s="6"/>
    </row>
    <row r="50" spans="8:8" x14ac:dyDescent="0.3">
      <c r="H50" s="6"/>
    </row>
    <row r="51" spans="8:8" x14ac:dyDescent="0.3">
      <c r="H51" s="6"/>
    </row>
    <row r="52" spans="8:8" x14ac:dyDescent="0.3">
      <c r="H52" s="6"/>
    </row>
    <row r="53" spans="8:8" x14ac:dyDescent="0.3">
      <c r="H53" s="6"/>
    </row>
    <row r="54" spans="8:8" x14ac:dyDescent="0.3">
      <c r="H54" s="6"/>
    </row>
    <row r="55" spans="8:8" x14ac:dyDescent="0.3">
      <c r="H55" s="6"/>
    </row>
    <row r="56" spans="8:8" x14ac:dyDescent="0.3">
      <c r="H56" s="6"/>
    </row>
    <row r="57" spans="8:8" x14ac:dyDescent="0.3">
      <c r="H57" s="6"/>
    </row>
    <row r="58" spans="8:8" x14ac:dyDescent="0.3">
      <c r="H58" s="6"/>
    </row>
    <row r="59" spans="8:8" x14ac:dyDescent="0.3">
      <c r="H59" s="6"/>
    </row>
    <row r="60" spans="8:8" x14ac:dyDescent="0.3">
      <c r="H60" s="6"/>
    </row>
    <row r="61" spans="8:8" x14ac:dyDescent="0.3">
      <c r="H61" s="6"/>
    </row>
    <row r="62" spans="8:8" x14ac:dyDescent="0.3">
      <c r="H62" s="6"/>
    </row>
    <row r="63" spans="8:8" x14ac:dyDescent="0.3">
      <c r="H63" s="6"/>
    </row>
    <row r="64" spans="8:8" x14ac:dyDescent="0.3">
      <c r="H64" s="6"/>
    </row>
    <row r="65" spans="8:8" x14ac:dyDescent="0.3">
      <c r="H65" s="6"/>
    </row>
    <row r="66" spans="8:8" x14ac:dyDescent="0.3">
      <c r="H66" s="6"/>
    </row>
    <row r="67" spans="8:8" x14ac:dyDescent="0.3">
      <c r="H67" s="6"/>
    </row>
    <row r="68" spans="8:8" x14ac:dyDescent="0.3">
      <c r="H68" s="6"/>
    </row>
    <row r="69" spans="8:8" x14ac:dyDescent="0.3">
      <c r="H69" s="6"/>
    </row>
    <row r="70" spans="8:8" x14ac:dyDescent="0.3">
      <c r="H70" s="6"/>
    </row>
    <row r="71" spans="8:8" x14ac:dyDescent="0.3">
      <c r="H71" s="6"/>
    </row>
    <row r="72" spans="8:8" x14ac:dyDescent="0.3">
      <c r="H72" s="6"/>
    </row>
    <row r="73" spans="8:8" x14ac:dyDescent="0.3">
      <c r="H73" s="6"/>
    </row>
    <row r="74" spans="8:8" x14ac:dyDescent="0.3">
      <c r="H74" s="6"/>
    </row>
    <row r="75" spans="8:8" x14ac:dyDescent="0.3">
      <c r="H75" s="6"/>
    </row>
    <row r="76" spans="8:8" x14ac:dyDescent="0.3">
      <c r="H76" s="6"/>
    </row>
    <row r="77" spans="8:8" x14ac:dyDescent="0.3">
      <c r="H77" s="6"/>
    </row>
    <row r="78" spans="8:8" x14ac:dyDescent="0.3">
      <c r="H78" s="6"/>
    </row>
    <row r="79" spans="8:8" x14ac:dyDescent="0.3">
      <c r="H79" s="6"/>
    </row>
    <row r="80" spans="8:8" x14ac:dyDescent="0.3">
      <c r="H80" s="6"/>
    </row>
    <row r="81" spans="8:8" x14ac:dyDescent="0.3">
      <c r="H81" s="6"/>
    </row>
    <row r="82" spans="8:8" x14ac:dyDescent="0.3">
      <c r="H82" s="6"/>
    </row>
    <row r="83" spans="8:8" x14ac:dyDescent="0.3">
      <c r="H83" s="6"/>
    </row>
    <row r="84" spans="8:8" x14ac:dyDescent="0.3">
      <c r="H84" s="6"/>
    </row>
    <row r="85" spans="8:8" x14ac:dyDescent="0.3">
      <c r="H85" s="6"/>
    </row>
    <row r="86" spans="8:8" x14ac:dyDescent="0.3">
      <c r="H86" s="6"/>
    </row>
    <row r="87" spans="8:8" x14ac:dyDescent="0.3">
      <c r="H87" s="6"/>
    </row>
    <row r="88" spans="8:8" x14ac:dyDescent="0.3">
      <c r="H88" s="6"/>
    </row>
    <row r="89" spans="8:8" x14ac:dyDescent="0.3">
      <c r="H89" s="6"/>
    </row>
    <row r="90" spans="8:8" x14ac:dyDescent="0.3">
      <c r="H90" s="6"/>
    </row>
    <row r="91" spans="8:8" x14ac:dyDescent="0.3">
      <c r="H91" s="6"/>
    </row>
    <row r="92" spans="8:8" x14ac:dyDescent="0.3">
      <c r="H92" s="6"/>
    </row>
    <row r="93" spans="8:8" x14ac:dyDescent="0.3">
      <c r="H93" s="6"/>
    </row>
    <row r="94" spans="8:8" x14ac:dyDescent="0.3">
      <c r="H94" s="6"/>
    </row>
    <row r="95" spans="8:8" x14ac:dyDescent="0.3">
      <c r="H95" s="6"/>
    </row>
    <row r="96" spans="8:8" x14ac:dyDescent="0.3">
      <c r="H96" s="6"/>
    </row>
    <row r="97" spans="8:8" x14ac:dyDescent="0.3">
      <c r="H97" s="6"/>
    </row>
    <row r="98" spans="8:8" x14ac:dyDescent="0.3">
      <c r="H98" s="6"/>
    </row>
    <row r="99" spans="8:8" x14ac:dyDescent="0.3">
      <c r="H99" s="6"/>
    </row>
    <row r="100" spans="8:8" x14ac:dyDescent="0.3">
      <c r="H100" s="6"/>
    </row>
    <row r="101" spans="8:8" x14ac:dyDescent="0.3">
      <c r="H101" s="6"/>
    </row>
    <row r="102" spans="8:8" x14ac:dyDescent="0.3">
      <c r="H102" s="6"/>
    </row>
    <row r="103" spans="8:8" x14ac:dyDescent="0.3">
      <c r="H103" s="6"/>
    </row>
    <row r="104" spans="8:8" x14ac:dyDescent="0.3">
      <c r="H104" s="6"/>
    </row>
    <row r="105" spans="8:8" x14ac:dyDescent="0.3">
      <c r="H105" s="6"/>
    </row>
    <row r="106" spans="8:8" x14ac:dyDescent="0.3">
      <c r="H106" s="6"/>
    </row>
    <row r="107" spans="8:8" x14ac:dyDescent="0.3">
      <c r="H107" s="6"/>
    </row>
    <row r="108" spans="8:8" x14ac:dyDescent="0.3">
      <c r="H108" s="6"/>
    </row>
    <row r="109" spans="8:8" x14ac:dyDescent="0.3">
      <c r="H109" s="6"/>
    </row>
    <row r="110" spans="8:8" x14ac:dyDescent="0.3">
      <c r="H110" s="6"/>
    </row>
    <row r="111" spans="8:8" x14ac:dyDescent="0.3">
      <c r="H111" s="6"/>
    </row>
    <row r="112" spans="8:8" x14ac:dyDescent="0.3">
      <c r="H112" s="6"/>
    </row>
    <row r="113" spans="8:8" x14ac:dyDescent="0.3">
      <c r="H113" s="6"/>
    </row>
    <row r="114" spans="8:8" x14ac:dyDescent="0.3">
      <c r="H114" s="6"/>
    </row>
    <row r="115" spans="8:8" x14ac:dyDescent="0.3">
      <c r="H115" s="6"/>
    </row>
    <row r="116" spans="8:8" x14ac:dyDescent="0.3">
      <c r="H116" s="6"/>
    </row>
    <row r="117" spans="8:8" x14ac:dyDescent="0.3">
      <c r="H117" s="6"/>
    </row>
    <row r="118" spans="8:8" x14ac:dyDescent="0.3">
      <c r="H118" s="6"/>
    </row>
    <row r="119" spans="8:8" x14ac:dyDescent="0.3">
      <c r="H119" s="6"/>
    </row>
    <row r="120" spans="8:8" x14ac:dyDescent="0.3">
      <c r="H120" s="6"/>
    </row>
    <row r="121" spans="8:8" x14ac:dyDescent="0.3">
      <c r="H121" s="6"/>
    </row>
    <row r="122" spans="8:8" x14ac:dyDescent="0.3">
      <c r="H122" s="6"/>
    </row>
    <row r="123" spans="8:8" x14ac:dyDescent="0.3">
      <c r="H123" s="6"/>
    </row>
    <row r="124" spans="8:8" x14ac:dyDescent="0.3">
      <c r="H124" s="6"/>
    </row>
    <row r="125" spans="8:8" x14ac:dyDescent="0.3">
      <c r="H125" s="6"/>
    </row>
    <row r="126" spans="8:8" x14ac:dyDescent="0.3">
      <c r="H126" s="6"/>
    </row>
    <row r="127" spans="8:8" x14ac:dyDescent="0.3">
      <c r="H127" s="6"/>
    </row>
    <row r="128" spans="8:8" x14ac:dyDescent="0.3">
      <c r="H128" s="6"/>
    </row>
    <row r="129" spans="8:8" x14ac:dyDescent="0.3">
      <c r="H129" s="6"/>
    </row>
    <row r="130" spans="8:8" x14ac:dyDescent="0.3">
      <c r="H130" s="6"/>
    </row>
    <row r="131" spans="8:8" x14ac:dyDescent="0.3">
      <c r="H131" s="6"/>
    </row>
    <row r="132" spans="8:8" x14ac:dyDescent="0.3">
      <c r="H132" s="6"/>
    </row>
    <row r="133" spans="8:8" x14ac:dyDescent="0.3">
      <c r="H133" s="6"/>
    </row>
    <row r="134" spans="8:8" x14ac:dyDescent="0.3">
      <c r="H134" s="6"/>
    </row>
    <row r="135" spans="8:8" x14ac:dyDescent="0.3">
      <c r="H135" s="6"/>
    </row>
    <row r="136" spans="8:8" x14ac:dyDescent="0.3">
      <c r="H136" s="6"/>
    </row>
    <row r="137" spans="8:8" x14ac:dyDescent="0.3">
      <c r="H137" s="6"/>
    </row>
    <row r="138" spans="8:8" x14ac:dyDescent="0.3">
      <c r="H138" s="6"/>
    </row>
    <row r="139" spans="8:8" x14ac:dyDescent="0.3">
      <c r="H139" s="6"/>
    </row>
    <row r="140" spans="8:8" x14ac:dyDescent="0.3">
      <c r="H140" s="6"/>
    </row>
    <row r="141" spans="8:8" x14ac:dyDescent="0.3">
      <c r="H141" s="6"/>
    </row>
    <row r="142" spans="8:8" x14ac:dyDescent="0.3">
      <c r="H142" s="6"/>
    </row>
    <row r="143" spans="8:8" x14ac:dyDescent="0.3">
      <c r="H143" s="6"/>
    </row>
    <row r="144" spans="8:8" x14ac:dyDescent="0.3">
      <c r="H144" s="6"/>
    </row>
    <row r="145" spans="8:8" x14ac:dyDescent="0.3">
      <c r="H145" s="6"/>
    </row>
    <row r="146" spans="8:8" x14ac:dyDescent="0.3">
      <c r="H146" s="6"/>
    </row>
    <row r="147" spans="8:8" x14ac:dyDescent="0.3">
      <c r="H147" s="6"/>
    </row>
    <row r="148" spans="8:8" x14ac:dyDescent="0.3">
      <c r="H148" s="6"/>
    </row>
    <row r="149" spans="8:8" x14ac:dyDescent="0.3">
      <c r="H149" s="6"/>
    </row>
    <row r="150" spans="8:8" x14ac:dyDescent="0.3">
      <c r="H150" s="6"/>
    </row>
    <row r="151" spans="8:8" x14ac:dyDescent="0.3">
      <c r="H151" s="6"/>
    </row>
    <row r="152" spans="8:8" x14ac:dyDescent="0.3">
      <c r="H152" s="6"/>
    </row>
    <row r="153" spans="8:8" x14ac:dyDescent="0.3">
      <c r="H153" s="6"/>
    </row>
    <row r="154" spans="8:8" x14ac:dyDescent="0.3">
      <c r="H154" s="6"/>
    </row>
    <row r="155" spans="8:8" x14ac:dyDescent="0.3">
      <c r="H155" s="6"/>
    </row>
    <row r="156" spans="8:8" x14ac:dyDescent="0.3">
      <c r="H156" s="6"/>
    </row>
    <row r="157" spans="8:8" x14ac:dyDescent="0.3">
      <c r="H157" s="6"/>
    </row>
    <row r="158" spans="8:8" x14ac:dyDescent="0.3">
      <c r="H158" s="6"/>
    </row>
    <row r="159" spans="8:8" x14ac:dyDescent="0.3">
      <c r="H159" s="6"/>
    </row>
    <row r="160" spans="8:8" x14ac:dyDescent="0.3">
      <c r="H160" s="6"/>
    </row>
    <row r="161" spans="8:8" x14ac:dyDescent="0.3">
      <c r="H161" s="6"/>
    </row>
    <row r="162" spans="8:8" x14ac:dyDescent="0.3">
      <c r="H162" s="6"/>
    </row>
    <row r="163" spans="8:8" x14ac:dyDescent="0.3">
      <c r="H163" s="6"/>
    </row>
    <row r="164" spans="8:8" x14ac:dyDescent="0.3">
      <c r="H164" s="6"/>
    </row>
    <row r="165" spans="8:8" x14ac:dyDescent="0.3">
      <c r="H165" s="6"/>
    </row>
    <row r="166" spans="8:8" x14ac:dyDescent="0.3">
      <c r="H166" s="6"/>
    </row>
    <row r="167" spans="8:8" x14ac:dyDescent="0.3">
      <c r="H167" s="6"/>
    </row>
    <row r="168" spans="8:8" x14ac:dyDescent="0.3">
      <c r="H168" s="6"/>
    </row>
    <row r="169" spans="8:8" x14ac:dyDescent="0.3">
      <c r="H169" s="6"/>
    </row>
    <row r="170" spans="8:8" x14ac:dyDescent="0.3">
      <c r="H170" s="6"/>
    </row>
    <row r="171" spans="8:8" x14ac:dyDescent="0.3">
      <c r="H171" s="6"/>
    </row>
    <row r="172" spans="8:8" x14ac:dyDescent="0.3">
      <c r="H172" s="6"/>
    </row>
    <row r="173" spans="8:8" x14ac:dyDescent="0.3">
      <c r="H173" s="6"/>
    </row>
    <row r="174" spans="8:8" x14ac:dyDescent="0.3">
      <c r="H174" s="6"/>
    </row>
    <row r="175" spans="8:8" x14ac:dyDescent="0.3">
      <c r="H175" s="6"/>
    </row>
    <row r="176" spans="8:8" x14ac:dyDescent="0.3">
      <c r="H176" s="6"/>
    </row>
    <row r="177" spans="8:8" x14ac:dyDescent="0.3">
      <c r="H177" s="6"/>
    </row>
    <row r="178" spans="8:8" x14ac:dyDescent="0.3">
      <c r="H178" s="6"/>
    </row>
    <row r="179" spans="8:8" x14ac:dyDescent="0.3">
      <c r="H179" s="6"/>
    </row>
    <row r="180" spans="8:8" x14ac:dyDescent="0.3">
      <c r="H180" s="6"/>
    </row>
    <row r="181" spans="8:8" x14ac:dyDescent="0.3">
      <c r="H181" s="6"/>
    </row>
    <row r="182" spans="8:8" x14ac:dyDescent="0.3">
      <c r="H182" s="6"/>
    </row>
    <row r="183" spans="8:8" x14ac:dyDescent="0.3">
      <c r="H183" s="6"/>
    </row>
    <row r="184" spans="8:8" x14ac:dyDescent="0.3">
      <c r="H184" s="6"/>
    </row>
    <row r="185" spans="8:8" x14ac:dyDescent="0.3">
      <c r="H185" s="6"/>
    </row>
    <row r="186" spans="8:8" x14ac:dyDescent="0.3">
      <c r="H186" s="6"/>
    </row>
    <row r="187" spans="8:8" x14ac:dyDescent="0.3">
      <c r="H187" s="6"/>
    </row>
    <row r="188" spans="8:8" x14ac:dyDescent="0.3">
      <c r="H188" s="6"/>
    </row>
    <row r="189" spans="8:8" x14ac:dyDescent="0.3">
      <c r="H189" s="6"/>
    </row>
    <row r="190" spans="8:8" x14ac:dyDescent="0.3">
      <c r="H190" s="6"/>
    </row>
    <row r="191" spans="8:8" x14ac:dyDescent="0.3">
      <c r="H191" s="6"/>
    </row>
    <row r="192" spans="8:8" x14ac:dyDescent="0.3">
      <c r="H192" s="6"/>
    </row>
    <row r="193" spans="8:8" x14ac:dyDescent="0.3">
      <c r="H193" s="6"/>
    </row>
    <row r="194" spans="8:8" x14ac:dyDescent="0.3">
      <c r="H194" s="6"/>
    </row>
    <row r="195" spans="8:8" x14ac:dyDescent="0.3">
      <c r="H195" s="6"/>
    </row>
    <row r="196" spans="8:8" x14ac:dyDescent="0.3">
      <c r="H196" s="6"/>
    </row>
    <row r="197" spans="8:8" x14ac:dyDescent="0.3">
      <c r="H197" s="6"/>
    </row>
    <row r="198" spans="8:8" x14ac:dyDescent="0.3">
      <c r="H198" s="6"/>
    </row>
    <row r="199" spans="8:8" x14ac:dyDescent="0.3">
      <c r="H199" s="6"/>
    </row>
    <row r="200" spans="8:8" x14ac:dyDescent="0.3">
      <c r="H200" s="6"/>
    </row>
    <row r="201" spans="8:8" x14ac:dyDescent="0.3">
      <c r="H201" s="6"/>
    </row>
    <row r="202" spans="8:8" x14ac:dyDescent="0.3">
      <c r="H202" s="6"/>
    </row>
    <row r="203" spans="8:8" x14ac:dyDescent="0.3">
      <c r="H203" s="6"/>
    </row>
    <row r="204" spans="8:8" x14ac:dyDescent="0.3">
      <c r="H204" s="6"/>
    </row>
    <row r="205" spans="8:8" x14ac:dyDescent="0.3">
      <c r="H205" s="6"/>
    </row>
    <row r="206" spans="8:8" x14ac:dyDescent="0.3">
      <c r="H206" s="6"/>
    </row>
    <row r="207" spans="8:8" x14ac:dyDescent="0.3">
      <c r="H207" s="6"/>
    </row>
    <row r="208" spans="8:8" x14ac:dyDescent="0.3">
      <c r="H208" s="6"/>
    </row>
    <row r="209" spans="8:8" x14ac:dyDescent="0.3">
      <c r="H209" s="6"/>
    </row>
    <row r="210" spans="8:8" x14ac:dyDescent="0.3">
      <c r="H210" s="6"/>
    </row>
    <row r="211" spans="8:8" x14ac:dyDescent="0.3">
      <c r="H211" s="6"/>
    </row>
    <row r="212" spans="8:8" x14ac:dyDescent="0.3">
      <c r="H212" s="6"/>
    </row>
    <row r="213" spans="8:8" x14ac:dyDescent="0.3">
      <c r="H213" s="6"/>
    </row>
    <row r="214" spans="8:8" x14ac:dyDescent="0.3">
      <c r="H214" s="6"/>
    </row>
    <row r="215" spans="8:8" x14ac:dyDescent="0.3">
      <c r="H215" s="6"/>
    </row>
    <row r="216" spans="8:8" x14ac:dyDescent="0.3">
      <c r="H216" s="6"/>
    </row>
    <row r="217" spans="8:8" x14ac:dyDescent="0.3">
      <c r="H217" s="6"/>
    </row>
    <row r="218" spans="8:8" x14ac:dyDescent="0.3">
      <c r="H218" s="6"/>
    </row>
    <row r="219" spans="8:8" x14ac:dyDescent="0.3">
      <c r="H219" s="6"/>
    </row>
    <row r="220" spans="8:8" x14ac:dyDescent="0.3">
      <c r="H220" s="6"/>
    </row>
    <row r="221" spans="8:8" x14ac:dyDescent="0.3">
      <c r="H221" s="6"/>
    </row>
    <row r="222" spans="8:8" x14ac:dyDescent="0.3">
      <c r="H222" s="6"/>
    </row>
  </sheetData>
  <mergeCells count="8">
    <mergeCell ref="L4:N4"/>
    <mergeCell ref="O4:P4"/>
    <mergeCell ref="L5:P6"/>
    <mergeCell ref="B2:C2"/>
    <mergeCell ref="H2:H3"/>
    <mergeCell ref="J2:J3"/>
    <mergeCell ref="E2:F2"/>
    <mergeCell ref="L2:P3"/>
  </mergeCells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3DF8A5-3462-4D9C-917B-A0FDACE6A8C7}">
          <x14:formula1>
            <xm:f>Options!$B$2:$B$3</xm:f>
          </x14:formula1>
          <xm:sqref>O4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3A107-E43C-4490-95DA-4D97364B7381}">
  <sheetPr codeName="Sheet2"/>
  <dimension ref="B1:B3"/>
  <sheetViews>
    <sheetView workbookViewId="0">
      <selection activeCell="B2" sqref="B2"/>
    </sheetView>
  </sheetViews>
  <sheetFormatPr defaultRowHeight="14" x14ac:dyDescent="0.3"/>
  <sheetData>
    <row r="1" spans="2:2" x14ac:dyDescent="0.3">
      <c r="B1" t="s">
        <v>17</v>
      </c>
    </row>
    <row r="2" spans="2:2" x14ac:dyDescent="0.3">
      <c r="B2" t="b">
        <v>1</v>
      </c>
    </row>
    <row r="3" spans="2:2" x14ac:dyDescent="0.3">
      <c r="B3" t="b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0749C-2422-40D8-9A03-AF8E0E60A503}">
  <sheetPr codeName="Sheet3"/>
  <dimension ref="A1:M37"/>
  <sheetViews>
    <sheetView topLeftCell="A19" workbookViewId="0">
      <selection activeCell="F21" sqref="F21:F37"/>
    </sheetView>
  </sheetViews>
  <sheetFormatPr defaultRowHeight="14" x14ac:dyDescent="0.3"/>
  <cols>
    <col min="2" max="2" width="10.5" customWidth="1"/>
    <col min="6" max="6" width="20.08203125" customWidth="1"/>
    <col min="9" max="9" width="49.25" customWidth="1"/>
    <col min="10" max="10" width="10.1640625" bestFit="1" customWidth="1"/>
    <col min="12" max="12" width="10.1640625" bestFit="1" customWidth="1"/>
  </cols>
  <sheetData>
    <row r="1" spans="1:13" ht="14.5" thickBot="1" x14ac:dyDescent="0.35">
      <c r="A1" s="15" t="s">
        <v>8</v>
      </c>
    </row>
    <row r="2" spans="1:13" ht="14.5" thickBot="1" x14ac:dyDescent="0.35">
      <c r="A2" s="17" t="s">
        <v>9</v>
      </c>
      <c r="B2" t="str" cm="1">
        <f t="array" ref="B2">GETURL($A2)</f>
        <v>https://osu.ppy.sh/community/matches/111749143#</v>
      </c>
      <c r="E2" t="s">
        <v>28</v>
      </c>
      <c r="G2" t="s">
        <v>29</v>
      </c>
      <c r="H2">
        <v>0</v>
      </c>
    </row>
    <row r="3" spans="1:13" ht="14.5" thickBot="1" x14ac:dyDescent="0.35">
      <c r="A3" s="17" t="s">
        <v>10</v>
      </c>
      <c r="B3" t="str" cm="1">
        <f t="array" ref="B3">GETURL($A3)</f>
        <v>https://osu.ppy.sh/community/matches/111750301#</v>
      </c>
      <c r="E3" t="s">
        <v>28</v>
      </c>
      <c r="G3" t="s">
        <v>29</v>
      </c>
      <c r="H3" s="14" t="s">
        <v>31</v>
      </c>
      <c r="K3" t="s">
        <v>28</v>
      </c>
      <c r="L3">
        <v>111749143</v>
      </c>
      <c r="M3" t="s">
        <v>29</v>
      </c>
    </row>
    <row r="4" spans="1:13" ht="14.5" thickBot="1" x14ac:dyDescent="0.35">
      <c r="A4" s="17" t="s">
        <v>13</v>
      </c>
      <c r="B4" t="str" cm="1">
        <f t="array" ref="B4">GETURL($A4)</f>
        <v>https://osu.ppy.sh/mp/111750031#</v>
      </c>
      <c r="E4" t="s">
        <v>28</v>
      </c>
      <c r="G4" t="s">
        <v>29</v>
      </c>
      <c r="H4" s="14" t="s">
        <v>31</v>
      </c>
      <c r="K4" t="s">
        <v>28</v>
      </c>
      <c r="L4">
        <v>111750301</v>
      </c>
      <c r="M4" t="s">
        <v>29</v>
      </c>
    </row>
    <row r="5" spans="1:13" ht="14.5" thickBot="1" x14ac:dyDescent="0.35">
      <c r="A5" s="17" t="s">
        <v>12</v>
      </c>
      <c r="B5" t="str" cm="1">
        <f t="array" ref="B5">GETURL($A5)</f>
        <v>https://osu.ppy.sh/community/matches/111768838#</v>
      </c>
      <c r="E5" t="s">
        <v>28</v>
      </c>
      <c r="G5" t="s">
        <v>29</v>
      </c>
      <c r="H5" s="14" t="s">
        <v>31</v>
      </c>
      <c r="K5" s="14" t="s">
        <v>30</v>
      </c>
      <c r="L5">
        <v>111750031</v>
      </c>
    </row>
    <row r="6" spans="1:13" ht="14.5" thickBot="1" x14ac:dyDescent="0.35">
      <c r="A6" s="17" t="s">
        <v>11</v>
      </c>
      <c r="B6" t="str" cm="1">
        <f t="array" ref="B6">GETURL($A6)</f>
        <v>https://osu.ppy.sh/community/matches/111768838#</v>
      </c>
      <c r="E6" t="s">
        <v>28</v>
      </c>
      <c r="G6" t="s">
        <v>29</v>
      </c>
      <c r="H6">
        <v>0</v>
      </c>
      <c r="K6" t="s">
        <v>28</v>
      </c>
      <c r="L6">
        <v>111768838</v>
      </c>
      <c r="M6" t="s">
        <v>29</v>
      </c>
    </row>
    <row r="7" spans="1:13" ht="14.5" thickBot="1" x14ac:dyDescent="0.35">
      <c r="A7" s="18"/>
      <c r="B7" cm="1">
        <f t="array" ref="B7">GETURL($A7)</f>
        <v>0</v>
      </c>
      <c r="E7" t="s">
        <v>28</v>
      </c>
      <c r="G7" t="s">
        <v>29</v>
      </c>
      <c r="H7" s="14" t="s">
        <v>30</v>
      </c>
      <c r="K7" t="s">
        <v>28</v>
      </c>
      <c r="L7">
        <v>111768838</v>
      </c>
      <c r="M7" t="s">
        <v>29</v>
      </c>
    </row>
    <row r="8" spans="1:13" ht="14.5" thickBot="1" x14ac:dyDescent="0.35">
      <c r="A8" s="16"/>
      <c r="B8" cm="1">
        <f t="array" ref="B8">GETURL($A8)</f>
        <v>0</v>
      </c>
      <c r="E8" t="s">
        <v>28</v>
      </c>
      <c r="G8" t="s">
        <v>29</v>
      </c>
      <c r="H8">
        <v>0</v>
      </c>
    </row>
    <row r="9" spans="1:13" ht="14.5" thickBot="1" x14ac:dyDescent="0.35">
      <c r="A9" s="17"/>
      <c r="B9" cm="1">
        <f t="array" ref="B9">GETURL($A9)</f>
        <v>0</v>
      </c>
      <c r="E9" t="s">
        <v>28</v>
      </c>
      <c r="G9" t="s">
        <v>29</v>
      </c>
      <c r="H9" s="14" t="s">
        <v>31</v>
      </c>
    </row>
    <row r="10" spans="1:13" ht="14.5" thickBot="1" x14ac:dyDescent="0.35">
      <c r="A10" s="13"/>
      <c r="B10" cm="1">
        <f t="array" ref="B10">GETURL($A10)</f>
        <v>0</v>
      </c>
      <c r="E10" s="14" t="s">
        <v>30</v>
      </c>
    </row>
    <row r="11" spans="1:13" ht="14.5" thickBot="1" x14ac:dyDescent="0.35">
      <c r="A11" s="13"/>
      <c r="B11" cm="1">
        <f t="array" ref="B11">GETURL($A11)</f>
        <v>0</v>
      </c>
      <c r="E11" t="s">
        <v>28</v>
      </c>
      <c r="G11" t="s">
        <v>29</v>
      </c>
    </row>
    <row r="12" spans="1:13" ht="14.5" thickBot="1" x14ac:dyDescent="0.35">
      <c r="A12" s="13"/>
      <c r="B12" cm="1">
        <f t="array" ref="B12">GETURL($A12)</f>
        <v>0</v>
      </c>
      <c r="E12">
        <v>0</v>
      </c>
      <c r="H12" s="14"/>
    </row>
    <row r="13" spans="1:13" ht="14.5" thickBot="1" x14ac:dyDescent="0.35">
      <c r="A13" s="13"/>
      <c r="B13" cm="1">
        <f t="array" ref="B13">GETURL($A13)</f>
        <v>0</v>
      </c>
      <c r="E13" t="s">
        <v>28</v>
      </c>
      <c r="G13" t="s">
        <v>29</v>
      </c>
    </row>
    <row r="14" spans="1:13" ht="14.5" thickBot="1" x14ac:dyDescent="0.35">
      <c r="A14" s="13"/>
      <c r="B14" cm="1">
        <f t="array" ref="B14">GETURL($A14)</f>
        <v>0</v>
      </c>
      <c r="E14" t="s">
        <v>28</v>
      </c>
      <c r="G14" t="s">
        <v>29</v>
      </c>
    </row>
    <row r="15" spans="1:13" ht="14.5" thickBot="1" x14ac:dyDescent="0.35">
      <c r="A15" s="12"/>
      <c r="B15" cm="1">
        <f t="array" ref="B15">GETURL($A15)</f>
        <v>0</v>
      </c>
      <c r="E15" t="s">
        <v>28</v>
      </c>
      <c r="G15" t="s">
        <v>29</v>
      </c>
    </row>
    <row r="16" spans="1:13" ht="14.5" thickBot="1" x14ac:dyDescent="0.35">
      <c r="A16" s="12"/>
      <c r="B16" cm="1">
        <f t="array" ref="B16">GETURL($A16)</f>
        <v>0</v>
      </c>
      <c r="E16" t="s">
        <v>28</v>
      </c>
      <c r="G16" t="s">
        <v>29</v>
      </c>
    </row>
    <row r="17" spans="1:7" ht="14.5" thickBot="1" x14ac:dyDescent="0.35">
      <c r="A17" s="12"/>
      <c r="B17" cm="1">
        <f t="array" ref="B17">GETURL($A17)</f>
        <v>0</v>
      </c>
      <c r="E17" t="s">
        <v>28</v>
      </c>
      <c r="G17" t="s">
        <v>29</v>
      </c>
    </row>
    <row r="20" spans="1:7" x14ac:dyDescent="0.3">
      <c r="B20" t="s">
        <v>27</v>
      </c>
      <c r="D20" t="s">
        <v>27</v>
      </c>
      <c r="F20" t="s">
        <v>27</v>
      </c>
    </row>
    <row r="21" spans="1:7" x14ac:dyDescent="0.3">
      <c r="B21">
        <v>4392416</v>
      </c>
      <c r="D21">
        <v>4392416</v>
      </c>
      <c r="F21">
        <v>4408353</v>
      </c>
    </row>
    <row r="22" spans="1:7" x14ac:dyDescent="0.3">
      <c r="B22">
        <v>4361032</v>
      </c>
      <c r="D22">
        <v>4361032</v>
      </c>
      <c r="F22">
        <v>4404301</v>
      </c>
    </row>
    <row r="23" spans="1:7" x14ac:dyDescent="0.3">
      <c r="B23">
        <v>4392423</v>
      </c>
      <c r="D23">
        <v>4392423</v>
      </c>
      <c r="F23">
        <v>4408352</v>
      </c>
    </row>
    <row r="24" spans="1:7" x14ac:dyDescent="0.3">
      <c r="B24">
        <v>4309312</v>
      </c>
      <c r="D24">
        <v>4309312</v>
      </c>
      <c r="F24">
        <v>4408345</v>
      </c>
    </row>
    <row r="25" spans="1:7" x14ac:dyDescent="0.3">
      <c r="B25">
        <v>4383681</v>
      </c>
      <c r="D25">
        <v>4383681</v>
      </c>
      <c r="F25">
        <v>4365573</v>
      </c>
    </row>
    <row r="26" spans="1:7" x14ac:dyDescent="0.3">
      <c r="B26">
        <v>3537228</v>
      </c>
      <c r="D26">
        <v>3537228</v>
      </c>
      <c r="F26">
        <v>3021223</v>
      </c>
    </row>
    <row r="27" spans="1:7" x14ac:dyDescent="0.3">
      <c r="B27">
        <v>4392415</v>
      </c>
      <c r="D27">
        <v>4392415</v>
      </c>
      <c r="F27">
        <v>4310401</v>
      </c>
    </row>
    <row r="28" spans="1:7" x14ac:dyDescent="0.3">
      <c r="B28">
        <v>4383872</v>
      </c>
      <c r="D28">
        <v>4390344</v>
      </c>
      <c r="F28">
        <v>4390344</v>
      </c>
    </row>
    <row r="29" spans="1:7" x14ac:dyDescent="0.3">
      <c r="B29">
        <v>4339954</v>
      </c>
      <c r="D29">
        <v>4401106</v>
      </c>
      <c r="F29">
        <v>4401106</v>
      </c>
    </row>
    <row r="30" spans="1:7" x14ac:dyDescent="0.3">
      <c r="B30">
        <v>4370711</v>
      </c>
      <c r="D30">
        <v>4401116</v>
      </c>
      <c r="F30">
        <v>4401116</v>
      </c>
    </row>
    <row r="31" spans="1:7" x14ac:dyDescent="0.3">
      <c r="B31">
        <v>3588685</v>
      </c>
      <c r="D31">
        <v>4401101</v>
      </c>
      <c r="F31">
        <v>4401101</v>
      </c>
    </row>
    <row r="32" spans="1:7" x14ac:dyDescent="0.3">
      <c r="B32">
        <v>3870447</v>
      </c>
      <c r="D32">
        <v>4401097</v>
      </c>
      <c r="F32">
        <v>4401097</v>
      </c>
    </row>
    <row r="33" spans="2:6" x14ac:dyDescent="0.3">
      <c r="B33">
        <v>4382915</v>
      </c>
      <c r="D33">
        <v>4399855</v>
      </c>
      <c r="F33">
        <v>4399855</v>
      </c>
    </row>
    <row r="34" spans="2:6" x14ac:dyDescent="0.3">
      <c r="B34">
        <v>3998427</v>
      </c>
      <c r="D34">
        <v>4401117</v>
      </c>
      <c r="F34">
        <v>4401117</v>
      </c>
    </row>
    <row r="35" spans="2:6" x14ac:dyDescent="0.3">
      <c r="B35">
        <v>4391414</v>
      </c>
      <c r="D35">
        <v>4391414</v>
      </c>
      <c r="F35">
        <v>4387298</v>
      </c>
    </row>
    <row r="36" spans="2:6" x14ac:dyDescent="0.3">
      <c r="B36">
        <v>4383864</v>
      </c>
      <c r="D36">
        <v>4307034</v>
      </c>
      <c r="F36">
        <v>4307034</v>
      </c>
    </row>
    <row r="37" spans="2:6" x14ac:dyDescent="0.3">
      <c r="B37">
        <v>4312219</v>
      </c>
      <c r="D37">
        <v>4378268</v>
      </c>
      <c r="F37">
        <v>4408410</v>
      </c>
    </row>
  </sheetData>
  <phoneticPr fontId="1" type="noConversion"/>
  <hyperlinks>
    <hyperlink ref="E10" r:id="rId1" xr:uid="{BBA7DD03-4BC4-4A0D-AB4C-A6AC501E28A9}"/>
    <hyperlink ref="H3" r:id="rId2" xr:uid="{A0436301-9A7E-4F8B-9C33-6603D5794C36}"/>
    <hyperlink ref="H4" r:id="rId3" xr:uid="{668E1265-1DF1-4735-84E0-014F86658BCD}"/>
    <hyperlink ref="H5" r:id="rId4" xr:uid="{1D070CE0-8042-49F5-B706-A72F11FAA5B7}"/>
    <hyperlink ref="H7" r:id="rId5" xr:uid="{996FD1AB-CF45-46FD-A77F-55ACFD90B9AA}"/>
    <hyperlink ref="H9" r:id="rId6" xr:uid="{6044C498-9717-4C3D-9A25-A084E35D3DB7}"/>
    <hyperlink ref="A2" r:id="rId7" display="https://osu.ppy.sh/community/matches/111749143" xr:uid="{6D734412-1AF9-4367-A737-62F4A1F92C1E}"/>
    <hyperlink ref="A3" r:id="rId8" display="https://osu.ppy.sh/community/matches/111750301" xr:uid="{F5B1D4F7-C546-445B-A72C-FC305F6AB8BA}"/>
    <hyperlink ref="A4" r:id="rId9" display="https://osu.ppy.sh/mp/111750031" xr:uid="{C69686D6-BDFA-49F1-B0B0-6679CF565B00}"/>
    <hyperlink ref="A5" r:id="rId10" display="https://osu.ppy.sh/community/matches/111768838" xr:uid="{23C03E40-E379-4F69-A115-F0376531432B}"/>
    <hyperlink ref="A6" r:id="rId11" display="https://osu.ppy.sh/community/matches/111768838" xr:uid="{A558C3CC-D23F-4D76-8874-86953273DDF6}"/>
    <hyperlink ref="K5" r:id="rId12" xr:uid="{E2779142-BA75-412D-91C4-BE81EE16123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Options</vt:lpstr>
      <vt:lpstr>Foumla_Excat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Rush_FTK</dc:creator>
  <cp:lastModifiedBy>Jiang Yunpeng</cp:lastModifiedBy>
  <dcterms:created xsi:type="dcterms:W3CDTF">2015-06-05T18:19:34Z</dcterms:created>
  <dcterms:modified xsi:type="dcterms:W3CDTF">2024-01-06T14:00:23Z</dcterms:modified>
</cp:coreProperties>
</file>